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taAnalytics\"/>
    </mc:Choice>
  </mc:AlternateContent>
  <xr:revisionPtr revIDLastSave="0" documentId="8_{E8540365-8582-432F-B169-88F8DB5493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ata" sheetId="1" r:id="rId1"/>
    <sheet name="Sales Insights" sheetId="2" r:id="rId2"/>
  </sheets>
  <definedNames>
    <definedName name="_xlnm._FilterDatabase" localSheetId="0" hidden="1">'Sales Data'!$E$1:$E$51</definedName>
  </definedNames>
  <calcPr calcId="191029"/>
</workbook>
</file>

<file path=xl/calcChain.xml><?xml version="1.0" encoding="utf-8"?>
<calcChain xmlns="http://schemas.openxmlformats.org/spreadsheetml/2006/main">
  <c r="M3" i="1" l="1"/>
  <c r="M12" i="1"/>
  <c r="M11" i="1"/>
  <c r="M10" i="1"/>
  <c r="M9" i="1"/>
  <c r="M6" i="1"/>
  <c r="M5" i="1"/>
  <c r="M4" i="1"/>
  <c r="K21" i="1"/>
  <c r="K20" i="1"/>
  <c r="K19" i="1"/>
  <c r="K18" i="1"/>
  <c r="K15" i="1"/>
  <c r="K12" i="1"/>
  <c r="K11" i="1"/>
  <c r="K10" i="1"/>
  <c r="K9" i="1"/>
  <c r="K6" i="1"/>
  <c r="K5" i="1"/>
  <c r="K4" i="1"/>
  <c r="K3" i="1"/>
</calcChain>
</file>

<file path=xl/sharedStrings.xml><?xml version="1.0" encoding="utf-8"?>
<sst xmlns="http://schemas.openxmlformats.org/spreadsheetml/2006/main" count="295" uniqueCount="116">
  <si>
    <t>Order ID</t>
  </si>
  <si>
    <t>Order Date</t>
  </si>
  <si>
    <t>Customer</t>
  </si>
  <si>
    <t>Region</t>
  </si>
  <si>
    <t>Product</t>
  </si>
  <si>
    <t>Category</t>
  </si>
  <si>
    <t>Quantity</t>
  </si>
  <si>
    <t>Sales</t>
  </si>
  <si>
    <t>03/11/2025</t>
  </si>
  <si>
    <t>Arjun</t>
  </si>
  <si>
    <t>North</t>
  </si>
  <si>
    <t>Laptop</t>
  </si>
  <si>
    <t>Electronics</t>
  </si>
  <si>
    <t>09/02/2025</t>
  </si>
  <si>
    <t>Sunita</t>
  </si>
  <si>
    <t>Tablet</t>
  </si>
  <si>
    <t>02/08/2025</t>
  </si>
  <si>
    <t>Rohan</t>
  </si>
  <si>
    <t>West</t>
  </si>
  <si>
    <t>10/21/2025</t>
  </si>
  <si>
    <t>Rahul</t>
  </si>
  <si>
    <t>Mobile</t>
  </si>
  <si>
    <t>03/28/2025</t>
  </si>
  <si>
    <t>Vikram</t>
  </si>
  <si>
    <t>Bookshelf</t>
  </si>
  <si>
    <t>Furniture</t>
  </si>
  <si>
    <t>09/10/2025</t>
  </si>
  <si>
    <t>Anjali</t>
  </si>
  <si>
    <t>South</t>
  </si>
  <si>
    <t>12/18/2025</t>
  </si>
  <si>
    <t>Priya</t>
  </si>
  <si>
    <t>Desk</t>
  </si>
  <si>
    <t>06/25/2025</t>
  </si>
  <si>
    <t>Kavya</t>
  </si>
  <si>
    <t>Pen Set</t>
  </si>
  <si>
    <t>Stationery</t>
  </si>
  <si>
    <t>12/06/2025</t>
  </si>
  <si>
    <t>Karan</t>
  </si>
  <si>
    <t>Headphones</t>
  </si>
  <si>
    <t>12/11/2025</t>
  </si>
  <si>
    <t>East</t>
  </si>
  <si>
    <t>06/06/2025</t>
  </si>
  <si>
    <t>Amit</t>
  </si>
  <si>
    <t>Mixer</t>
  </si>
  <si>
    <t>Appliances</t>
  </si>
  <si>
    <t>10/18/2025</t>
  </si>
  <si>
    <t>Files</t>
  </si>
  <si>
    <t>10/16/2025</t>
  </si>
  <si>
    <t>11/23/2025</t>
  </si>
  <si>
    <t>08/27/2025</t>
  </si>
  <si>
    <t>Notebook</t>
  </si>
  <si>
    <t>10/06/2025</t>
  </si>
  <si>
    <t>04/24/2025</t>
  </si>
  <si>
    <t>09/13/2025</t>
  </si>
  <si>
    <t>Fan</t>
  </si>
  <si>
    <t>06/14/2025</t>
  </si>
  <si>
    <t>Sanjay</t>
  </si>
  <si>
    <t>Chair</t>
  </si>
  <si>
    <t>04/05/2025</t>
  </si>
  <si>
    <t>05/09/2025</t>
  </si>
  <si>
    <t>06/19/2025</t>
  </si>
  <si>
    <t>07/13/2025</t>
  </si>
  <si>
    <t>02/07/2025</t>
  </si>
  <si>
    <t>02/02/2025</t>
  </si>
  <si>
    <t>04/03/2025</t>
  </si>
  <si>
    <t>Divya</t>
  </si>
  <si>
    <t>06/20/2025</t>
  </si>
  <si>
    <t>05/16/2025</t>
  </si>
  <si>
    <t>12/27/2025</t>
  </si>
  <si>
    <t>09/23/2025</t>
  </si>
  <si>
    <t>Rajesh</t>
  </si>
  <si>
    <t>05/28/2025</t>
  </si>
  <si>
    <t>09/18/2025</t>
  </si>
  <si>
    <t>Neha</t>
  </si>
  <si>
    <t>04/26/2025</t>
  </si>
  <si>
    <t>05/26/2025</t>
  </si>
  <si>
    <t>12/15/2025</t>
  </si>
  <si>
    <t>04/16/2025</t>
  </si>
  <si>
    <t>11/16/2025</t>
  </si>
  <si>
    <t>07/06/2025</t>
  </si>
  <si>
    <t>02/24/2025</t>
  </si>
  <si>
    <t>Meena</t>
  </si>
  <si>
    <t>08/19/2025</t>
  </si>
  <si>
    <t>07/05/2025</t>
  </si>
  <si>
    <t>01/05/2025</t>
  </si>
  <si>
    <t>09/14/2025</t>
  </si>
  <si>
    <t>03/01/2025</t>
  </si>
  <si>
    <t>06/02/2025</t>
  </si>
  <si>
    <t>01/09/2025</t>
  </si>
  <si>
    <t>08/03/2025</t>
  </si>
  <si>
    <t>08/26/2025</t>
  </si>
  <si>
    <t>Region Sales Total</t>
  </si>
  <si>
    <t>Orders per Category</t>
  </si>
  <si>
    <t>Average</t>
  </si>
  <si>
    <t>Orders per Region</t>
  </si>
  <si>
    <t>Average order value per region</t>
  </si>
  <si>
    <t>Revenue per Category</t>
  </si>
  <si>
    <t>Sales Analysis — 50 Orders, 4 Regions</t>
  </si>
  <si>
    <t>Order count vs revenue: do they always agree?</t>
  </si>
  <si>
    <t>Region Performance</t>
  </si>
  <si>
    <t>Orders</t>
  </si>
  <si>
    <t>Total Revenue</t>
  </si>
  <si>
    <t>Avg Order Value</t>
  </si>
  <si>
    <t>Green = highest revenue</t>
  </si>
  <si>
    <t>Amber = highest order count</t>
  </si>
  <si>
    <t>Category Performance</t>
  </si>
  <si>
    <t>Blue = same order count, nearly 2x revenue difference</t>
  </si>
  <si>
    <t>Key Insights of Chart 1</t>
  </si>
  <si>
    <t>• South placed the most orders (16 total)</t>
  </si>
  <si>
    <t>• North generated the highest revenue (₹14.27L)</t>
  </si>
  <si>
    <t>• North's average order value is 57% higher than South's</t>
  </si>
  <si>
    <t>Key Insight of Chart 2</t>
  </si>
  <si>
    <t>• Stationery and Furniture both had 11 orders</t>
  </si>
  <si>
    <t>• Stationery generated 84% more revenue than Furniture</t>
  </si>
  <si>
    <t>• Equal order count doesn't mean equal business impact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</si>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</sst>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₹&quot;\ #,##0"/>
    <numFmt numFmtId="174" formatCode="[$₹-4009]\ #,##0;[$₹-4009]\ \-#,##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9FAF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170" fontId="0" fillId="0" borderId="3" xfId="0" applyNumberFormat="1" applyBorder="1"/>
    <xf numFmtId="170" fontId="0" fillId="0" borderId="2" xfId="0" applyNumberFormat="1" applyBorder="1"/>
    <xf numFmtId="0" fontId="6" fillId="0" borderId="4" xfId="0" applyFont="1" applyBorder="1"/>
    <xf numFmtId="0" fontId="0" fillId="0" borderId="4" xfId="0" applyBorder="1"/>
    <xf numFmtId="0" fontId="7" fillId="2" borderId="3" xfId="0" applyFont="1" applyFill="1" applyBorder="1"/>
    <xf numFmtId="0" fontId="7" fillId="2" borderId="2" xfId="0" applyFont="1" applyFill="1" applyBorder="1"/>
    <xf numFmtId="0" fontId="0" fillId="0" borderId="7" xfId="0" applyBorder="1"/>
    <xf numFmtId="0" fontId="0" fillId="3" borderId="5" xfId="0" applyFill="1" applyBorder="1"/>
    <xf numFmtId="170" fontId="0" fillId="3" borderId="6" xfId="0" applyNumberFormat="1" applyFill="1" applyBorder="1"/>
    <xf numFmtId="170" fontId="0" fillId="3" borderId="5" xfId="0" applyNumberFormat="1" applyFill="1" applyBorder="1"/>
    <xf numFmtId="0" fontId="0" fillId="4" borderId="2" xfId="0" applyFill="1" applyBorder="1"/>
    <xf numFmtId="170" fontId="0" fillId="4" borderId="2" xfId="0" applyNumberFormat="1" applyFill="1" applyBorder="1"/>
    <xf numFmtId="170" fontId="0" fillId="4" borderId="3" xfId="0" applyNumberFormat="1" applyFill="1" applyBorder="1"/>
    <xf numFmtId="174" fontId="0" fillId="0" borderId="2" xfId="0" applyNumberFormat="1" applyBorder="1"/>
    <xf numFmtId="0" fontId="0" fillId="5" borderId="2" xfId="0" applyFill="1" applyBorder="1"/>
    <xf numFmtId="174" fontId="0" fillId="5" borderId="2" xfId="0" applyNumberFormat="1" applyFill="1" applyBorder="1"/>
    <xf numFmtId="0" fontId="0" fillId="0" borderId="3" xfId="0" applyBorder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6" borderId="0" xfId="0" applyFont="1" applyFill="1"/>
    <xf numFmtId="0" fontId="0" fillId="6" borderId="0" xfId="0" applyFill="1"/>
    <xf numFmtId="1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9FAFB"/>
      <color rgb="FF1F2937"/>
      <color rgb="FF3B82F6"/>
      <color rgb="FF15803D"/>
      <color rgb="FF16A34A"/>
      <color rgb="FFF59E0B"/>
      <color rgb="FFDBEAFE"/>
      <color rgb="FFFEF3C7"/>
      <color rgb="FFDCFC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2937"/>
                </a:solidFill>
              </a:rPr>
              <a:t>Where the Orders Are vs Where the Money Is</a:t>
            </a:r>
            <a:endParaRPr lang="en-IN">
              <a:solidFill>
                <a:srgbClr val="1F293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Insights'!$B$5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'Sales Insights'!$A$6:$A$9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Insights'!$B$6:$B$9</c:f>
              <c:numCache>
                <c:formatCode>General</c:formatCode>
                <c:ptCount val="4"/>
                <c:pt idx="0">
                  <c:v>12</c:v>
                </c:pt>
                <c:pt idx="1">
                  <c:v>16</c:v>
                </c:pt>
                <c:pt idx="2">
                  <c:v>8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6-41BE-8624-1217398A7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59352"/>
        <c:axId val="122458272"/>
      </c:barChart>
      <c:lineChart>
        <c:grouping val="standard"/>
        <c:varyColors val="0"/>
        <c:ser>
          <c:idx val="1"/>
          <c:order val="1"/>
          <c:tx>
            <c:strRef>
              <c:f>'Sales Insights'!$C$5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rgbClr val="16A34A"/>
              </a:solidFill>
              <a:round/>
            </a:ln>
            <a:effectLst/>
          </c:spPr>
          <c:marker>
            <c:symbol val="none"/>
          </c:marker>
          <c:cat>
            <c:strRef>
              <c:f>'Sales Insights'!$A$6:$A$9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Insights'!$C$6:$C$9</c:f>
              <c:numCache>
                <c:formatCode>"₹"\ #,##0</c:formatCode>
                <c:ptCount val="4"/>
                <c:pt idx="0">
                  <c:v>1426899</c:v>
                </c:pt>
                <c:pt idx="1">
                  <c:v>1212934</c:v>
                </c:pt>
                <c:pt idx="2">
                  <c:v>763883</c:v>
                </c:pt>
                <c:pt idx="3">
                  <c:v>721457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6-41BE-8624-1217398A7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26592"/>
        <c:axId val="594825872"/>
      </c:lineChart>
      <c:catAx>
        <c:axId val="122459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8272"/>
        <c:crosses val="autoZero"/>
        <c:auto val="1"/>
        <c:lblAlgn val="ctr"/>
        <c:lblOffset val="100"/>
        <c:noMultiLvlLbl val="0"/>
      </c:catAx>
      <c:valAx>
        <c:axId val="122458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9352"/>
        <c:crosses val="autoZero"/>
        <c:crossBetween val="between"/>
      </c:valAx>
      <c:valAx>
        <c:axId val="594825872"/>
        <c:scaling>
          <c:orientation val="minMax"/>
        </c:scaling>
        <c:delete val="0"/>
        <c:axPos val="r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26592"/>
        <c:crosses val="max"/>
        <c:crossBetween val="between"/>
      </c:valAx>
      <c:catAx>
        <c:axId val="59482659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2587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2937"/>
                </a:solidFill>
              </a:rPr>
              <a:t>Same Orders, Different Revenue</a:t>
            </a:r>
            <a:endParaRPr lang="en-IN">
              <a:solidFill>
                <a:srgbClr val="1F2937"/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Insights'!$C$14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cat>
            <c:strRef>
              <c:f>'Sales Insights'!$A$16:$A$17</c:f>
              <c:strCache>
                <c:ptCount val="2"/>
                <c:pt idx="0">
                  <c:v>Stationery</c:v>
                </c:pt>
                <c:pt idx="1">
                  <c:v>Furniture</c:v>
                </c:pt>
              </c:strCache>
            </c:strRef>
          </c:cat>
          <c:val>
            <c:numRef>
              <c:f>'Sales Insights'!$C$16:$C$17</c:f>
              <c:numCache>
                <c:formatCode>[$₹-4009]\ #,##0;[$₹-4009]\ \-#,##0</c:formatCode>
                <c:ptCount val="2"/>
                <c:pt idx="0">
                  <c:v>499498</c:v>
                </c:pt>
                <c:pt idx="1">
                  <c:v>271935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3-4EFE-A50E-61957D0212F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033552"/>
        <c:axId val="6060339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Insights'!$B$14</c15:sqref>
                        </c15:formulaRef>
                      </c:ext>
                    </c:extLst>
                    <c:strCache>
                      <c:ptCount val="1"/>
                      <c:pt idx="0">
                        <c:v>Orders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'Sales Insights'!$A$16:$A$17</c15:sqref>
                        </c15:formulaRef>
                      </c:ext>
                    </c:extLst>
                    <c:strCache>
                      <c:ptCount val="2"/>
                      <c:pt idx="0">
                        <c:v>Stationery</c:v>
                      </c:pt>
                      <c:pt idx="1">
                        <c:v>Furniture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'Sales Insights'!$B$15:$B$18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33-4EFE-A50E-61957D0212F6}"/>
                  </c:ext>
                </c:extLst>
              </c15:ser>
            </c15:filteredBarSeries>
          </c:ext>
        </c:extLst>
      </c:barChart>
      <c:catAx>
        <c:axId val="60603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33912"/>
        <c:crosses val="autoZero"/>
        <c:auto val="1"/>
        <c:lblAlgn val="ctr"/>
        <c:lblOffset val="100"/>
        <c:noMultiLvlLbl val="0"/>
      </c:catAx>
      <c:valAx>
        <c:axId val="606033912"/>
        <c:scaling>
          <c:orientation val="minMax"/>
        </c:scaling>
        <c:delete val="0"/>
        <c:axPos val="l"/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3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518583</xdr:colOff>
      <xdr:row>0</xdr:row>
      <xdr:rowOff>211667</xdr:rowOff>
    </xdr:from>
    <xdr:to>
      <xdr:col>12</xdr:col>
      <xdr:colOff>201083</xdr:colOff>
      <xdr:row>14</xdr:row>
      <xdr:rowOff>96309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059FA-5705-2FA1-378D-6281AAA10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506941</xdr:colOff>
      <xdr:row>15</xdr:row>
      <xdr:rowOff>38100</xdr:rowOff>
    </xdr:from>
    <xdr:to>
      <xdr:col>12</xdr:col>
      <xdr:colOff>202141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501D41-6A29-C078-F990-E0FC9D509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Q13" sqref="Q13"/>
    </sheetView>
  </sheetViews>
  <sheetFormatPr defaultRowHeight="15" x14ac:dyDescent="0.25"/>
  <cols>
    <col min="1" max="1" width="10" customWidth="1"/>
    <col min="2" max="3" width="12" customWidth="1"/>
    <col min="4" max="4" width="10" customWidth="1"/>
    <col min="5" max="6" width="14" customWidth="1"/>
    <col min="7" max="7" width="10" customWidth="1"/>
    <col min="8" max="8" width="12" customWidth="1"/>
    <col min="11" max="11" width="19.140625" customWidth="1"/>
    <col min="13" max="13" width="29" customWidth="1"/>
  </cols>
  <sheetData>
    <row r="1" spans="1:13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5" t="s">
        <v>115</v>
      </c>
      <c r="L1" s="24"/>
      <c r="M1" s="24"/>
    </row>
    <row r="2" spans="1:13" x14ac:dyDescent="0.25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6</v>
      </c>
      <c r="H2">
        <v>259158</v>
      </c>
      <c r="K2" s="26" t="s">
        <v>91</v>
      </c>
      <c r="L2" s="27"/>
      <c r="M2" s="26" t="s">
        <v>95</v>
      </c>
    </row>
    <row r="3" spans="1:13" x14ac:dyDescent="0.25">
      <c r="A3">
        <v>1002</v>
      </c>
      <c r="B3" t="s">
        <v>13</v>
      </c>
      <c r="C3" t="s">
        <v>14</v>
      </c>
      <c r="D3" t="s">
        <v>10</v>
      </c>
      <c r="E3" t="s">
        <v>15</v>
      </c>
      <c r="F3" t="s">
        <v>12</v>
      </c>
      <c r="G3">
        <v>7</v>
      </c>
      <c r="H3">
        <v>67046</v>
      </c>
      <c r="K3" s="27">
        <f>SUMIF(D2:D51, "North", H2:H51)</f>
        <v>1426899</v>
      </c>
      <c r="L3" s="27"/>
      <c r="M3" s="28">
        <f>AVERAGEIF($D$2:$D$51,"North",$H$2:$H$51)</f>
        <v>118908.25</v>
      </c>
    </row>
    <row r="4" spans="1:13" x14ac:dyDescent="0.25">
      <c r="A4">
        <v>1003</v>
      </c>
      <c r="B4" t="s">
        <v>16</v>
      </c>
      <c r="C4" t="s">
        <v>17</v>
      </c>
      <c r="D4" t="s">
        <v>18</v>
      </c>
      <c r="E4" t="s">
        <v>11</v>
      </c>
      <c r="F4" t="s">
        <v>12</v>
      </c>
      <c r="G4">
        <v>4</v>
      </c>
      <c r="H4">
        <v>185312</v>
      </c>
      <c r="K4" s="27">
        <f>SUMIF(D2:D51,"South",H2:H51)</f>
        <v>1212934</v>
      </c>
      <c r="L4" s="27"/>
      <c r="M4" s="28">
        <f>AVERAGEIF($D$2:$D$51,"South",$H$2:$H$51)</f>
        <v>75808.375</v>
      </c>
    </row>
    <row r="5" spans="1:13" x14ac:dyDescent="0.25">
      <c r="A5">
        <v>1004</v>
      </c>
      <c r="B5" t="s">
        <v>19</v>
      </c>
      <c r="C5" t="s">
        <v>20</v>
      </c>
      <c r="D5" t="s">
        <v>18</v>
      </c>
      <c r="E5" t="s">
        <v>21</v>
      </c>
      <c r="F5" t="s">
        <v>12</v>
      </c>
      <c r="G5">
        <v>1</v>
      </c>
      <c r="H5">
        <v>41481</v>
      </c>
      <c r="K5" s="27">
        <f>SUMIF(D2:D51,"East",H2:H51)</f>
        <v>763883</v>
      </c>
      <c r="L5" s="27"/>
      <c r="M5" s="28">
        <f>AVERAGEIF($D$2:$D$51,"East",$H$2:$H$51)</f>
        <v>95485.375</v>
      </c>
    </row>
    <row r="6" spans="1:13" x14ac:dyDescent="0.25">
      <c r="A6">
        <v>1005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>
        <v>2</v>
      </c>
      <c r="H6">
        <v>22706</v>
      </c>
      <c r="K6" s="27">
        <f>SUMIF(D2:D51,"West",H2:H51)</f>
        <v>721457</v>
      </c>
      <c r="L6" s="27"/>
      <c r="M6" s="28">
        <f>AVERAGEIF($D$2:$D$51,"West",$H$2:$H$51)</f>
        <v>51532.642857142855</v>
      </c>
    </row>
    <row r="7" spans="1:13" x14ac:dyDescent="0.25">
      <c r="A7">
        <v>1006</v>
      </c>
      <c r="B7" t="s">
        <v>26</v>
      </c>
      <c r="C7" t="s">
        <v>27</v>
      </c>
      <c r="D7" t="s">
        <v>28</v>
      </c>
      <c r="E7" t="s">
        <v>21</v>
      </c>
      <c r="F7" t="s">
        <v>12</v>
      </c>
      <c r="G7">
        <v>6</v>
      </c>
      <c r="H7">
        <v>68310</v>
      </c>
      <c r="K7" s="27"/>
      <c r="L7" s="27"/>
      <c r="M7" s="27"/>
    </row>
    <row r="8" spans="1:13" x14ac:dyDescent="0.25">
      <c r="A8">
        <v>1007</v>
      </c>
      <c r="B8" t="s">
        <v>29</v>
      </c>
      <c r="C8" t="s">
        <v>30</v>
      </c>
      <c r="D8" t="s">
        <v>10</v>
      </c>
      <c r="E8" t="s">
        <v>31</v>
      </c>
      <c r="F8" t="s">
        <v>25</v>
      </c>
      <c r="G8">
        <v>9</v>
      </c>
      <c r="H8">
        <v>81045</v>
      </c>
      <c r="K8" s="26" t="s">
        <v>92</v>
      </c>
      <c r="L8" s="27"/>
      <c r="M8" s="26" t="s">
        <v>96</v>
      </c>
    </row>
    <row r="9" spans="1:13" x14ac:dyDescent="0.25">
      <c r="A9">
        <v>1008</v>
      </c>
      <c r="B9" t="s">
        <v>32</v>
      </c>
      <c r="C9" t="s">
        <v>33</v>
      </c>
      <c r="D9" t="s">
        <v>18</v>
      </c>
      <c r="E9" t="s">
        <v>34</v>
      </c>
      <c r="F9" t="s">
        <v>35</v>
      </c>
      <c r="G9">
        <v>4</v>
      </c>
      <c r="H9">
        <v>1824</v>
      </c>
      <c r="K9" s="27">
        <f>COUNTIF($F$2:$F$51,"Electronics")</f>
        <v>19</v>
      </c>
      <c r="L9" s="27"/>
      <c r="M9" s="27">
        <f>SUMIF($F$2:$F$51,"Electronics",$H$2:$H$51)</f>
        <v>3334922</v>
      </c>
    </row>
    <row r="10" spans="1:13" x14ac:dyDescent="0.25">
      <c r="A10">
        <v>1009</v>
      </c>
      <c r="B10" t="s">
        <v>36</v>
      </c>
      <c r="C10" t="s">
        <v>37</v>
      </c>
      <c r="D10" t="s">
        <v>28</v>
      </c>
      <c r="E10" t="s">
        <v>38</v>
      </c>
      <c r="F10" t="s">
        <v>12</v>
      </c>
      <c r="G10">
        <v>9</v>
      </c>
      <c r="H10">
        <v>337023</v>
      </c>
      <c r="K10" s="27">
        <f>COUNTIF($F$2:$F$51,"Appliances")</f>
        <v>11</v>
      </c>
      <c r="L10" s="27"/>
      <c r="M10" s="27">
        <f>SUMIF($F$2:$F$51,"Appliances",$H$2:$H$51)</f>
        <v>271935</v>
      </c>
    </row>
    <row r="11" spans="1:13" x14ac:dyDescent="0.25">
      <c r="A11">
        <v>1010</v>
      </c>
      <c r="B11" t="s">
        <v>39</v>
      </c>
      <c r="C11" t="s">
        <v>33</v>
      </c>
      <c r="D11" t="s">
        <v>40</v>
      </c>
      <c r="E11" t="s">
        <v>11</v>
      </c>
      <c r="F11" t="s">
        <v>12</v>
      </c>
      <c r="G11">
        <v>9</v>
      </c>
      <c r="H11">
        <v>291618</v>
      </c>
      <c r="K11" s="27">
        <f>COUNTIF($F$2:$F$51,"Furniture")</f>
        <v>11</v>
      </c>
      <c r="L11" s="27"/>
      <c r="M11" s="27">
        <f>SUMIF($F$2:$F$51,"Furniture",$H$2:$H$51)</f>
        <v>499498</v>
      </c>
    </row>
    <row r="12" spans="1:13" x14ac:dyDescent="0.25">
      <c r="A12">
        <v>1011</v>
      </c>
      <c r="B12" t="s">
        <v>41</v>
      </c>
      <c r="C12" t="s">
        <v>42</v>
      </c>
      <c r="D12" t="s">
        <v>18</v>
      </c>
      <c r="E12" t="s">
        <v>43</v>
      </c>
      <c r="F12" t="s">
        <v>44</v>
      </c>
      <c r="G12">
        <v>2</v>
      </c>
      <c r="H12">
        <v>15526</v>
      </c>
      <c r="K12" s="27">
        <f>COUNTIF($F$2:$F$51,"Stationery")</f>
        <v>9</v>
      </c>
      <c r="L12" s="27"/>
      <c r="M12" s="27">
        <f>SUMIF($F$2:$F$51,"Stationery",$H$2:$H$51)</f>
        <v>18818</v>
      </c>
    </row>
    <row r="13" spans="1:13" x14ac:dyDescent="0.25">
      <c r="A13">
        <v>1012</v>
      </c>
      <c r="B13" t="s">
        <v>45</v>
      </c>
      <c r="C13" t="s">
        <v>37</v>
      </c>
      <c r="D13" t="s">
        <v>40</v>
      </c>
      <c r="E13" t="s">
        <v>46</v>
      </c>
      <c r="F13" t="s">
        <v>35</v>
      </c>
      <c r="G13">
        <v>6</v>
      </c>
      <c r="H13">
        <v>2124</v>
      </c>
      <c r="K13" s="27"/>
      <c r="L13" s="27"/>
      <c r="M13" s="27"/>
    </row>
    <row r="14" spans="1:13" x14ac:dyDescent="0.25">
      <c r="A14">
        <v>1013</v>
      </c>
      <c r="B14" t="s">
        <v>47</v>
      </c>
      <c r="C14" t="s">
        <v>37</v>
      </c>
      <c r="D14" t="s">
        <v>18</v>
      </c>
      <c r="E14" t="s">
        <v>11</v>
      </c>
      <c r="F14" t="s">
        <v>12</v>
      </c>
      <c r="G14">
        <v>5</v>
      </c>
      <c r="H14">
        <v>180350</v>
      </c>
      <c r="K14" s="26" t="s">
        <v>93</v>
      </c>
      <c r="L14" s="27"/>
      <c r="M14" s="27"/>
    </row>
    <row r="15" spans="1:13" x14ac:dyDescent="0.25">
      <c r="A15">
        <v>1014</v>
      </c>
      <c r="B15" t="s">
        <v>48</v>
      </c>
      <c r="C15" t="s">
        <v>30</v>
      </c>
      <c r="D15" t="s">
        <v>10</v>
      </c>
      <c r="E15" t="s">
        <v>46</v>
      </c>
      <c r="F15" t="s">
        <v>35</v>
      </c>
      <c r="G15">
        <v>10</v>
      </c>
      <c r="H15">
        <v>3980</v>
      </c>
      <c r="K15" s="27">
        <f>AVERAGE(H2:H51)</f>
        <v>82503.460000000006</v>
      </c>
      <c r="L15" s="27"/>
      <c r="M15" s="27"/>
    </row>
    <row r="16" spans="1:13" x14ac:dyDescent="0.25">
      <c r="A16">
        <v>1015</v>
      </c>
      <c r="B16" t="s">
        <v>49</v>
      </c>
      <c r="C16" t="s">
        <v>23</v>
      </c>
      <c r="D16" t="s">
        <v>18</v>
      </c>
      <c r="E16" t="s">
        <v>50</v>
      </c>
      <c r="F16" t="s">
        <v>35</v>
      </c>
      <c r="G16">
        <v>8</v>
      </c>
      <c r="H16">
        <v>1848</v>
      </c>
      <c r="K16" s="27"/>
      <c r="L16" s="27"/>
      <c r="M16" s="27"/>
    </row>
    <row r="17" spans="1:13" x14ac:dyDescent="0.25">
      <c r="A17">
        <v>1016</v>
      </c>
      <c r="B17" t="s">
        <v>51</v>
      </c>
      <c r="C17" t="s">
        <v>30</v>
      </c>
      <c r="D17" t="s">
        <v>18</v>
      </c>
      <c r="E17" t="s">
        <v>21</v>
      </c>
      <c r="F17" t="s">
        <v>12</v>
      </c>
      <c r="G17">
        <v>5</v>
      </c>
      <c r="H17">
        <v>67380</v>
      </c>
      <c r="K17" s="26" t="s">
        <v>94</v>
      </c>
      <c r="L17" s="27"/>
      <c r="M17" s="27"/>
    </row>
    <row r="18" spans="1:13" x14ac:dyDescent="0.25">
      <c r="A18">
        <v>1017</v>
      </c>
      <c r="B18" t="s">
        <v>52</v>
      </c>
      <c r="C18" t="s">
        <v>9</v>
      </c>
      <c r="D18" t="s">
        <v>18</v>
      </c>
      <c r="E18" t="s">
        <v>43</v>
      </c>
      <c r="F18" t="s">
        <v>44</v>
      </c>
      <c r="G18">
        <v>3</v>
      </c>
      <c r="H18">
        <v>15537</v>
      </c>
      <c r="K18" s="27">
        <f>COUNTIF($D$2:$D$51,"North")</f>
        <v>12</v>
      </c>
      <c r="L18" s="27"/>
      <c r="M18" s="27"/>
    </row>
    <row r="19" spans="1:13" x14ac:dyDescent="0.25">
      <c r="A19">
        <v>1018</v>
      </c>
      <c r="B19" t="s">
        <v>53</v>
      </c>
      <c r="C19" t="s">
        <v>23</v>
      </c>
      <c r="D19" t="s">
        <v>28</v>
      </c>
      <c r="E19" t="s">
        <v>54</v>
      </c>
      <c r="F19" t="s">
        <v>44</v>
      </c>
      <c r="G19">
        <v>5</v>
      </c>
      <c r="H19">
        <v>36430</v>
      </c>
      <c r="K19" s="27">
        <f>COUNTIF($D$2:$D$51,"South")</f>
        <v>16</v>
      </c>
      <c r="L19" s="27"/>
      <c r="M19" s="27"/>
    </row>
    <row r="20" spans="1:13" x14ac:dyDescent="0.25">
      <c r="A20">
        <v>1019</v>
      </c>
      <c r="B20" t="s">
        <v>55</v>
      </c>
      <c r="C20" t="s">
        <v>56</v>
      </c>
      <c r="D20" t="s">
        <v>18</v>
      </c>
      <c r="E20" t="s">
        <v>57</v>
      </c>
      <c r="F20" t="s">
        <v>25</v>
      </c>
      <c r="G20">
        <v>2</v>
      </c>
      <c r="H20">
        <v>9774</v>
      </c>
      <c r="K20" s="27">
        <f>COUNTIF($D$2:$D$51,"East")</f>
        <v>8</v>
      </c>
      <c r="L20" s="27"/>
      <c r="M20" s="27"/>
    </row>
    <row r="21" spans="1:13" x14ac:dyDescent="0.25">
      <c r="A21">
        <v>1020</v>
      </c>
      <c r="B21" t="s">
        <v>58</v>
      </c>
      <c r="C21" t="s">
        <v>56</v>
      </c>
      <c r="D21" t="s">
        <v>28</v>
      </c>
      <c r="E21" t="s">
        <v>15</v>
      </c>
      <c r="F21" t="s">
        <v>12</v>
      </c>
      <c r="G21">
        <v>10</v>
      </c>
      <c r="H21">
        <v>169500</v>
      </c>
      <c r="K21" s="27">
        <f>COUNTIF($D$2:$D$51,"West")</f>
        <v>14</v>
      </c>
      <c r="L21" s="27"/>
      <c r="M21" s="27"/>
    </row>
    <row r="22" spans="1:13" x14ac:dyDescent="0.25">
      <c r="A22">
        <v>1021</v>
      </c>
      <c r="B22" t="s">
        <v>59</v>
      </c>
      <c r="C22" t="s">
        <v>20</v>
      </c>
      <c r="D22" t="s">
        <v>28</v>
      </c>
      <c r="E22" t="s">
        <v>54</v>
      </c>
      <c r="F22" t="s">
        <v>44</v>
      </c>
      <c r="G22">
        <v>6</v>
      </c>
      <c r="H22">
        <v>38970</v>
      </c>
    </row>
    <row r="23" spans="1:13" x14ac:dyDescent="0.25">
      <c r="A23">
        <v>1022</v>
      </c>
      <c r="B23" t="s">
        <v>60</v>
      </c>
      <c r="C23" t="s">
        <v>42</v>
      </c>
      <c r="D23" t="s">
        <v>10</v>
      </c>
      <c r="E23" t="s">
        <v>54</v>
      </c>
      <c r="F23" t="s">
        <v>44</v>
      </c>
      <c r="G23">
        <v>9</v>
      </c>
      <c r="H23">
        <v>42426</v>
      </c>
    </row>
    <row r="24" spans="1:13" x14ac:dyDescent="0.25">
      <c r="A24">
        <v>1023</v>
      </c>
      <c r="B24" t="s">
        <v>61</v>
      </c>
      <c r="C24" t="s">
        <v>9</v>
      </c>
      <c r="D24" t="s">
        <v>10</v>
      </c>
      <c r="E24" t="s">
        <v>54</v>
      </c>
      <c r="F24" t="s">
        <v>44</v>
      </c>
      <c r="G24">
        <v>7</v>
      </c>
      <c r="H24">
        <v>14063</v>
      </c>
    </row>
    <row r="25" spans="1:13" x14ac:dyDescent="0.25">
      <c r="A25">
        <v>1024</v>
      </c>
      <c r="B25" t="s">
        <v>62</v>
      </c>
      <c r="C25" t="s">
        <v>14</v>
      </c>
      <c r="D25" t="s">
        <v>18</v>
      </c>
      <c r="E25" t="s">
        <v>57</v>
      </c>
      <c r="F25" t="s">
        <v>25</v>
      </c>
      <c r="G25">
        <v>6</v>
      </c>
      <c r="H25">
        <v>71052</v>
      </c>
    </row>
    <row r="26" spans="1:13" x14ac:dyDescent="0.25">
      <c r="A26">
        <v>1025</v>
      </c>
      <c r="B26" t="s">
        <v>63</v>
      </c>
      <c r="C26" t="s">
        <v>20</v>
      </c>
      <c r="D26" t="s">
        <v>28</v>
      </c>
      <c r="E26" t="s">
        <v>38</v>
      </c>
      <c r="F26" t="s">
        <v>12</v>
      </c>
      <c r="G26">
        <v>10</v>
      </c>
      <c r="H26">
        <v>66710</v>
      </c>
    </row>
    <row r="27" spans="1:13" x14ac:dyDescent="0.25">
      <c r="A27">
        <v>1026</v>
      </c>
      <c r="B27" t="s">
        <v>64</v>
      </c>
      <c r="C27" t="s">
        <v>65</v>
      </c>
      <c r="D27" t="s">
        <v>18</v>
      </c>
      <c r="E27" t="s">
        <v>24</v>
      </c>
      <c r="F27" t="s">
        <v>25</v>
      </c>
      <c r="G27">
        <v>5</v>
      </c>
      <c r="H27">
        <v>38455</v>
      </c>
    </row>
    <row r="28" spans="1:13" x14ac:dyDescent="0.25">
      <c r="A28">
        <v>1027</v>
      </c>
      <c r="B28" t="s">
        <v>66</v>
      </c>
      <c r="C28" t="s">
        <v>33</v>
      </c>
      <c r="D28" t="s">
        <v>10</v>
      </c>
      <c r="E28" t="s">
        <v>15</v>
      </c>
      <c r="F28" t="s">
        <v>12</v>
      </c>
      <c r="G28">
        <v>8</v>
      </c>
      <c r="H28">
        <v>291864</v>
      </c>
    </row>
    <row r="29" spans="1:13" x14ac:dyDescent="0.25">
      <c r="A29">
        <v>1028</v>
      </c>
      <c r="B29" t="s">
        <v>67</v>
      </c>
      <c r="C29" t="s">
        <v>30</v>
      </c>
      <c r="D29" t="s">
        <v>28</v>
      </c>
      <c r="E29" t="s">
        <v>38</v>
      </c>
      <c r="F29" t="s">
        <v>12</v>
      </c>
      <c r="G29">
        <v>5</v>
      </c>
      <c r="H29">
        <v>181830</v>
      </c>
    </row>
    <row r="30" spans="1:13" x14ac:dyDescent="0.25">
      <c r="A30">
        <v>1029</v>
      </c>
      <c r="B30" t="s">
        <v>68</v>
      </c>
      <c r="C30" t="s">
        <v>42</v>
      </c>
      <c r="D30" t="s">
        <v>10</v>
      </c>
      <c r="E30" t="s">
        <v>24</v>
      </c>
      <c r="F30" t="s">
        <v>25</v>
      </c>
      <c r="G30">
        <v>6</v>
      </c>
      <c r="H30">
        <v>26406</v>
      </c>
    </row>
    <row r="31" spans="1:13" x14ac:dyDescent="0.25">
      <c r="A31">
        <v>1030</v>
      </c>
      <c r="B31" t="s">
        <v>69</v>
      </c>
      <c r="C31" t="s">
        <v>70</v>
      </c>
      <c r="D31" t="s">
        <v>10</v>
      </c>
      <c r="E31" t="s">
        <v>46</v>
      </c>
      <c r="F31" t="s">
        <v>35</v>
      </c>
      <c r="G31">
        <v>2</v>
      </c>
      <c r="H31">
        <v>812</v>
      </c>
    </row>
    <row r="32" spans="1:13" x14ac:dyDescent="0.25">
      <c r="A32">
        <v>1031</v>
      </c>
      <c r="B32" t="s">
        <v>71</v>
      </c>
      <c r="C32" t="s">
        <v>17</v>
      </c>
      <c r="D32" t="s">
        <v>40</v>
      </c>
      <c r="E32" t="s">
        <v>31</v>
      </c>
      <c r="F32" t="s">
        <v>25</v>
      </c>
      <c r="G32">
        <v>4</v>
      </c>
      <c r="H32">
        <v>42900</v>
      </c>
    </row>
    <row r="33" spans="1:8" x14ac:dyDescent="0.25">
      <c r="A33">
        <v>1032</v>
      </c>
      <c r="B33" t="s">
        <v>72</v>
      </c>
      <c r="C33" t="s">
        <v>73</v>
      </c>
      <c r="D33" t="s">
        <v>28</v>
      </c>
      <c r="E33" t="s">
        <v>57</v>
      </c>
      <c r="F33" t="s">
        <v>25</v>
      </c>
      <c r="G33">
        <v>7</v>
      </c>
      <c r="H33">
        <v>98854</v>
      </c>
    </row>
    <row r="34" spans="1:8" x14ac:dyDescent="0.25">
      <c r="A34">
        <v>1033</v>
      </c>
      <c r="B34" t="s">
        <v>74</v>
      </c>
      <c r="C34" t="s">
        <v>14</v>
      </c>
      <c r="D34" t="s">
        <v>18</v>
      </c>
      <c r="E34" t="s">
        <v>46</v>
      </c>
      <c r="F34" t="s">
        <v>35</v>
      </c>
      <c r="G34">
        <v>1</v>
      </c>
      <c r="H34">
        <v>64</v>
      </c>
    </row>
    <row r="35" spans="1:8" x14ac:dyDescent="0.25">
      <c r="A35">
        <v>1034</v>
      </c>
      <c r="B35" t="s">
        <v>75</v>
      </c>
      <c r="C35" t="s">
        <v>33</v>
      </c>
      <c r="D35" t="s">
        <v>40</v>
      </c>
      <c r="E35" t="s">
        <v>24</v>
      </c>
      <c r="F35" t="s">
        <v>25</v>
      </c>
      <c r="G35">
        <v>10</v>
      </c>
      <c r="H35">
        <v>76400</v>
      </c>
    </row>
    <row r="36" spans="1:8" x14ac:dyDescent="0.25">
      <c r="A36">
        <v>1035</v>
      </c>
      <c r="B36" t="s">
        <v>76</v>
      </c>
      <c r="C36" t="s">
        <v>73</v>
      </c>
      <c r="D36" t="s">
        <v>40</v>
      </c>
      <c r="E36" t="s">
        <v>21</v>
      </c>
      <c r="F36" t="s">
        <v>12</v>
      </c>
      <c r="G36">
        <v>2</v>
      </c>
      <c r="H36">
        <v>39732</v>
      </c>
    </row>
    <row r="37" spans="1:8" x14ac:dyDescent="0.25">
      <c r="A37">
        <v>1036</v>
      </c>
      <c r="B37" t="s">
        <v>77</v>
      </c>
      <c r="C37" t="s">
        <v>73</v>
      </c>
      <c r="D37" t="s">
        <v>28</v>
      </c>
      <c r="E37" t="s">
        <v>54</v>
      </c>
      <c r="F37" t="s">
        <v>44</v>
      </c>
      <c r="G37">
        <v>10</v>
      </c>
      <c r="H37">
        <v>15150</v>
      </c>
    </row>
    <row r="38" spans="1:8" x14ac:dyDescent="0.25">
      <c r="A38">
        <v>1037</v>
      </c>
      <c r="B38" t="s">
        <v>78</v>
      </c>
      <c r="C38" t="s">
        <v>73</v>
      </c>
      <c r="D38" t="s">
        <v>10</v>
      </c>
      <c r="E38" t="s">
        <v>15</v>
      </c>
      <c r="F38" t="s">
        <v>12</v>
      </c>
      <c r="G38">
        <v>4</v>
      </c>
      <c r="H38">
        <v>145312</v>
      </c>
    </row>
    <row r="39" spans="1:8" x14ac:dyDescent="0.25">
      <c r="A39">
        <v>1038</v>
      </c>
      <c r="B39" t="s">
        <v>79</v>
      </c>
      <c r="C39" t="s">
        <v>37</v>
      </c>
      <c r="D39" t="s">
        <v>40</v>
      </c>
      <c r="E39" t="s">
        <v>15</v>
      </c>
      <c r="F39" t="s">
        <v>12</v>
      </c>
      <c r="G39">
        <v>8</v>
      </c>
      <c r="H39">
        <v>250440</v>
      </c>
    </row>
    <row r="40" spans="1:8" x14ac:dyDescent="0.25">
      <c r="A40">
        <v>1039</v>
      </c>
      <c r="B40" t="s">
        <v>80</v>
      </c>
      <c r="C40" t="s">
        <v>81</v>
      </c>
      <c r="D40" t="s">
        <v>28</v>
      </c>
      <c r="E40" t="s">
        <v>57</v>
      </c>
      <c r="F40" t="s">
        <v>25</v>
      </c>
      <c r="G40">
        <v>1</v>
      </c>
      <c r="H40">
        <v>4476</v>
      </c>
    </row>
    <row r="41" spans="1:8" x14ac:dyDescent="0.25">
      <c r="A41">
        <v>1040</v>
      </c>
      <c r="B41" t="s">
        <v>82</v>
      </c>
      <c r="C41" t="s">
        <v>37</v>
      </c>
      <c r="D41" t="s">
        <v>28</v>
      </c>
      <c r="E41" t="s">
        <v>54</v>
      </c>
      <c r="F41" t="s">
        <v>44</v>
      </c>
      <c r="G41">
        <v>6</v>
      </c>
      <c r="H41">
        <v>16662</v>
      </c>
    </row>
    <row r="42" spans="1:8" x14ac:dyDescent="0.25">
      <c r="A42">
        <v>1041</v>
      </c>
      <c r="B42" t="s">
        <v>72</v>
      </c>
      <c r="C42" t="s">
        <v>42</v>
      </c>
      <c r="D42" t="s">
        <v>10</v>
      </c>
      <c r="E42" t="s">
        <v>11</v>
      </c>
      <c r="F42" t="s">
        <v>12</v>
      </c>
      <c r="G42">
        <v>9</v>
      </c>
      <c r="H42">
        <v>487062</v>
      </c>
    </row>
    <row r="43" spans="1:8" x14ac:dyDescent="0.25">
      <c r="A43">
        <v>1042</v>
      </c>
      <c r="B43" t="s">
        <v>83</v>
      </c>
      <c r="C43" t="s">
        <v>27</v>
      </c>
      <c r="D43" t="s">
        <v>28</v>
      </c>
      <c r="E43" t="s">
        <v>57</v>
      </c>
      <c r="F43" t="s">
        <v>25</v>
      </c>
      <c r="G43">
        <v>5</v>
      </c>
      <c r="H43">
        <v>27430</v>
      </c>
    </row>
    <row r="44" spans="1:8" x14ac:dyDescent="0.25">
      <c r="A44">
        <v>1043</v>
      </c>
      <c r="B44" t="s">
        <v>26</v>
      </c>
      <c r="C44" t="s">
        <v>14</v>
      </c>
      <c r="D44" t="s">
        <v>40</v>
      </c>
      <c r="E44" t="s">
        <v>46</v>
      </c>
      <c r="F44" t="s">
        <v>35</v>
      </c>
      <c r="G44">
        <v>7</v>
      </c>
      <c r="H44">
        <v>3339</v>
      </c>
    </row>
    <row r="45" spans="1:8" x14ac:dyDescent="0.25">
      <c r="A45">
        <v>1044</v>
      </c>
      <c r="B45" t="s">
        <v>84</v>
      </c>
      <c r="C45" t="s">
        <v>70</v>
      </c>
      <c r="D45" t="s">
        <v>40</v>
      </c>
      <c r="E45" t="s">
        <v>54</v>
      </c>
      <c r="F45" t="s">
        <v>44</v>
      </c>
      <c r="G45">
        <v>10</v>
      </c>
      <c r="H45">
        <v>57330</v>
      </c>
    </row>
    <row r="46" spans="1:8" x14ac:dyDescent="0.25">
      <c r="A46">
        <v>1045</v>
      </c>
      <c r="B46" t="s">
        <v>85</v>
      </c>
      <c r="C46" t="s">
        <v>42</v>
      </c>
      <c r="D46" t="s">
        <v>28</v>
      </c>
      <c r="E46" t="s">
        <v>15</v>
      </c>
      <c r="F46" t="s">
        <v>12</v>
      </c>
      <c r="G46">
        <v>3</v>
      </c>
      <c r="H46">
        <v>134646</v>
      </c>
    </row>
    <row r="47" spans="1:8" x14ac:dyDescent="0.25">
      <c r="A47">
        <v>1046</v>
      </c>
      <c r="B47" t="s">
        <v>86</v>
      </c>
      <c r="C47" t="s">
        <v>42</v>
      </c>
      <c r="D47" t="s">
        <v>28</v>
      </c>
      <c r="E47" t="s">
        <v>54</v>
      </c>
      <c r="F47" t="s">
        <v>44</v>
      </c>
      <c r="G47">
        <v>2</v>
      </c>
      <c r="H47">
        <v>12116</v>
      </c>
    </row>
    <row r="48" spans="1:8" x14ac:dyDescent="0.25">
      <c r="A48">
        <v>1047</v>
      </c>
      <c r="B48" t="s">
        <v>87</v>
      </c>
      <c r="C48" t="s">
        <v>56</v>
      </c>
      <c r="D48" t="s">
        <v>18</v>
      </c>
      <c r="E48" t="s">
        <v>11</v>
      </c>
      <c r="F48" t="s">
        <v>12</v>
      </c>
      <c r="G48">
        <v>4</v>
      </c>
      <c r="H48">
        <v>70148</v>
      </c>
    </row>
    <row r="49" spans="1:8" x14ac:dyDescent="0.25">
      <c r="A49">
        <v>1048</v>
      </c>
      <c r="B49" t="s">
        <v>88</v>
      </c>
      <c r="C49" t="s">
        <v>37</v>
      </c>
      <c r="D49" t="s">
        <v>10</v>
      </c>
      <c r="E49" t="s">
        <v>54</v>
      </c>
      <c r="F49" t="s">
        <v>44</v>
      </c>
      <c r="G49">
        <v>1</v>
      </c>
      <c r="H49">
        <v>7725</v>
      </c>
    </row>
    <row r="50" spans="1:8" x14ac:dyDescent="0.25">
      <c r="A50">
        <v>1049</v>
      </c>
      <c r="B50" t="s">
        <v>89</v>
      </c>
      <c r="C50" t="s">
        <v>73</v>
      </c>
      <c r="D50" t="s">
        <v>28</v>
      </c>
      <c r="E50" t="s">
        <v>34</v>
      </c>
      <c r="F50" t="s">
        <v>35</v>
      </c>
      <c r="G50">
        <v>9</v>
      </c>
      <c r="H50">
        <v>2907</v>
      </c>
    </row>
    <row r="51" spans="1:8" x14ac:dyDescent="0.25">
      <c r="A51">
        <v>1050</v>
      </c>
      <c r="B51" t="s">
        <v>90</v>
      </c>
      <c r="C51" t="s">
        <v>17</v>
      </c>
      <c r="D51" t="s">
        <v>28</v>
      </c>
      <c r="E51" t="s">
        <v>46</v>
      </c>
      <c r="F51" t="s">
        <v>35</v>
      </c>
      <c r="G51">
        <v>4</v>
      </c>
      <c r="H51">
        <v>1920</v>
      </c>
    </row>
  </sheetData>
  <autoFilter ref="E1:E51" xr:uid="{00000000-0001-0000-0000-000000000000}"/>
  <mergeCells count="1"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3816-A98B-47C4-B20E-DB4D20677845}">
  <dimension ref="A1:N20"/>
  <sheetViews>
    <sheetView showGridLines="0" zoomScale="90" zoomScaleNormal="90" workbookViewId="0">
      <selection activeCell="P12" sqref="P12"/>
    </sheetView>
  </sheetViews>
  <sheetFormatPr defaultRowHeight="15" x14ac:dyDescent="0.25"/>
  <cols>
    <col min="1" max="1" width="24.140625" customWidth="1"/>
    <col min="3" max="3" width="14.85546875" customWidth="1"/>
    <col min="4" max="4" width="16.42578125" customWidth="1"/>
    <col min="13" max="13" width="4" customWidth="1"/>
    <col min="14" max="14" width="51.85546875" customWidth="1"/>
  </cols>
  <sheetData>
    <row r="1" spans="1:14" ht="21" x14ac:dyDescent="0.35">
      <c r="A1" s="2" t="s">
        <v>97</v>
      </c>
    </row>
    <row r="2" spans="1:14" x14ac:dyDescent="0.25">
      <c r="A2" s="3" t="s">
        <v>98</v>
      </c>
    </row>
    <row r="3" spans="1:14" ht="15.75" x14ac:dyDescent="0.25">
      <c r="A3" s="3"/>
      <c r="N3" s="12" t="s">
        <v>107</v>
      </c>
    </row>
    <row r="4" spans="1:14" ht="18.75" x14ac:dyDescent="0.3">
      <c r="A4" s="9" t="s">
        <v>99</v>
      </c>
      <c r="B4" s="10"/>
      <c r="C4" s="10"/>
      <c r="D4" s="10"/>
      <c r="N4" s="6" t="s">
        <v>108</v>
      </c>
    </row>
    <row r="5" spans="1:14" ht="15.75" x14ac:dyDescent="0.25">
      <c r="A5" s="12" t="s">
        <v>3</v>
      </c>
      <c r="B5" s="11" t="s">
        <v>100</v>
      </c>
      <c r="C5" s="12" t="s">
        <v>101</v>
      </c>
      <c r="D5" s="12" t="s">
        <v>102</v>
      </c>
      <c r="N5" s="6" t="s">
        <v>109</v>
      </c>
    </row>
    <row r="6" spans="1:14" x14ac:dyDescent="0.25">
      <c r="A6" s="14" t="s">
        <v>10</v>
      </c>
      <c r="B6" s="14">
        <v>12</v>
      </c>
      <c r="C6" s="15">
        <v>1426899</v>
      </c>
      <c r="D6" s="16">
        <v>118908.25</v>
      </c>
      <c r="N6" s="6" t="s">
        <v>110</v>
      </c>
    </row>
    <row r="7" spans="1:14" x14ac:dyDescent="0.25">
      <c r="A7" s="17" t="s">
        <v>28</v>
      </c>
      <c r="B7" s="17">
        <v>16</v>
      </c>
      <c r="C7" s="18">
        <v>1212934</v>
      </c>
      <c r="D7" s="19">
        <v>75808.375</v>
      </c>
    </row>
    <row r="8" spans="1:14" x14ac:dyDescent="0.25">
      <c r="A8" s="5" t="s">
        <v>40</v>
      </c>
      <c r="B8" s="6">
        <v>8</v>
      </c>
      <c r="C8" s="8">
        <v>763883</v>
      </c>
      <c r="D8" s="7">
        <v>95485.375</v>
      </c>
    </row>
    <row r="9" spans="1:14" x14ac:dyDescent="0.25">
      <c r="A9" s="5" t="s">
        <v>18</v>
      </c>
      <c r="B9" s="6">
        <v>14</v>
      </c>
      <c r="C9" s="8">
        <v>721457</v>
      </c>
      <c r="D9" s="7">
        <v>51532.642857142855</v>
      </c>
    </row>
    <row r="11" spans="1:14" x14ac:dyDescent="0.25">
      <c r="A11" s="3" t="s">
        <v>103</v>
      </c>
      <c r="B11" s="3" t="s">
        <v>104</v>
      </c>
    </row>
    <row r="13" spans="1:14" ht="18.75" x14ac:dyDescent="0.3">
      <c r="A13" s="4" t="s">
        <v>105</v>
      </c>
    </row>
    <row r="14" spans="1:14" ht="15.75" x14ac:dyDescent="0.25">
      <c r="A14" s="12" t="s">
        <v>5</v>
      </c>
      <c r="B14" s="12" t="s">
        <v>100</v>
      </c>
      <c r="C14" s="12" t="s">
        <v>101</v>
      </c>
    </row>
    <row r="15" spans="1:14" x14ac:dyDescent="0.25">
      <c r="A15" s="6" t="s">
        <v>12</v>
      </c>
      <c r="B15" s="6">
        <v>19</v>
      </c>
      <c r="C15" s="20">
        <v>3334922</v>
      </c>
    </row>
    <row r="16" spans="1:14" x14ac:dyDescent="0.25">
      <c r="A16" s="21" t="s">
        <v>35</v>
      </c>
      <c r="B16" s="21">
        <v>11</v>
      </c>
      <c r="C16" s="22">
        <v>499498</v>
      </c>
      <c r="N16" s="10"/>
    </row>
    <row r="17" spans="1:14" ht="15.75" x14ac:dyDescent="0.25">
      <c r="A17" s="21" t="s">
        <v>25</v>
      </c>
      <c r="B17" s="21">
        <v>11</v>
      </c>
      <c r="C17" s="22">
        <v>271935</v>
      </c>
      <c r="M17" s="13"/>
      <c r="N17" s="12" t="s">
        <v>111</v>
      </c>
    </row>
    <row r="18" spans="1:14" x14ac:dyDescent="0.25">
      <c r="A18" s="6" t="s">
        <v>44</v>
      </c>
      <c r="B18" s="6">
        <v>9</v>
      </c>
      <c r="C18" s="20">
        <v>18818</v>
      </c>
      <c r="M18" s="13"/>
      <c r="N18" s="6" t="s">
        <v>112</v>
      </c>
    </row>
    <row r="19" spans="1:14" x14ac:dyDescent="0.25">
      <c r="M19" s="13"/>
      <c r="N19" s="6" t="s">
        <v>113</v>
      </c>
    </row>
    <row r="20" spans="1:14" x14ac:dyDescent="0.25">
      <c r="A20" s="3" t="s">
        <v>106</v>
      </c>
      <c r="M20" s="13"/>
      <c r="N20" s="23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Reddy Marthala</cp:lastModifiedBy>
  <dcterms:created xsi:type="dcterms:W3CDTF">2026-08-26T04:29:34Z</dcterms:created>
  <dcterms:modified xsi:type="dcterms:W3CDTF">2026-08-26T06:56:45Z</dcterms:modified>
</cp:coreProperties>
</file>