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Windows\Downloads\"/>
    </mc:Choice>
  </mc:AlternateContent>
  <xr:revisionPtr revIDLastSave="0" documentId="13_ncr:1_{A346C489-6377-4278-88DA-BD5B21B4B0E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cenario Summary " sheetId="7" r:id="rId1"/>
    <sheet name="SaaS Model" sheetId="1" r:id="rId2"/>
  </sheets>
  <calcPr calcId="191029"/>
</workbook>
</file>

<file path=xl/calcChain.xml><?xml version="1.0" encoding="utf-8"?>
<calcChain xmlns="http://schemas.openxmlformats.org/spreadsheetml/2006/main">
  <c r="B21" i="1" l="1"/>
  <c r="B19" i="1"/>
  <c r="B20" i="1" s="1"/>
  <c r="B16" i="1"/>
  <c r="B17" i="1" s="1"/>
  <c r="B18" i="1" s="1"/>
  <c r="E4" i="1" s="1"/>
  <c r="B14" i="1"/>
  <c r="B15" i="1" s="1"/>
</calcChain>
</file>

<file path=xl/sharedStrings.xml><?xml version="1.0" encoding="utf-8"?>
<sst xmlns="http://schemas.openxmlformats.org/spreadsheetml/2006/main" count="62" uniqueCount="54">
  <si>
    <t>SaaS Unit Economics Model</t>
  </si>
  <si>
    <t>Model the levers that actually drive a subscription business</t>
  </si>
  <si>
    <t>INPUTS (adjustable)</t>
  </si>
  <si>
    <t>New Customers per Month</t>
  </si>
  <si>
    <t>Monthly Subscription Price (₹)</t>
  </si>
  <si>
    <t>Monthly Churn Rate (%)</t>
  </si>
  <si>
    <t>Customer Acquisition Cost (CAC) (₹)</t>
  </si>
  <si>
    <t>Gross Margin (%)</t>
  </si>
  <si>
    <t>Existing Active Customers</t>
  </si>
  <si>
    <t>Marketing Spend per Month (₹)</t>
  </si>
  <si>
    <t>CALCULATED METRICS</t>
  </si>
  <si>
    <t>Total Active Customers (End of Month)</t>
  </si>
  <si>
    <t>Monthly Recurring Revenue (MRR)</t>
  </si>
  <si>
    <t>Customer Lifetime (months)</t>
  </si>
  <si>
    <t>Customer Lifetime Value (LTV) (₹)</t>
  </si>
  <si>
    <t>LTV : CAC Ratio</t>
  </si>
  <si>
    <t>Monthly Churned Customers</t>
  </si>
  <si>
    <t>Net New Customers</t>
  </si>
  <si>
    <t>Customer Acquisition Efficiency (New Cust / Marketing ₹1000)</t>
  </si>
  <si>
    <t>Expected Case</t>
  </si>
  <si>
    <t>Created by Windows on 30-08-2026</t>
  </si>
  <si>
    <t>Best Case</t>
  </si>
  <si>
    <t>Worst Case</t>
  </si>
  <si>
    <t>Scenario Summary</t>
  </si>
  <si>
    <t>Changing Cells:</t>
  </si>
  <si>
    <t>Current Values:</t>
  </si>
  <si>
    <t>Result Cells:</t>
  </si>
  <si>
    <t>Created by Windows on 30-08-2026
Modified by Windows on 30-08-2026</t>
  </si>
  <si>
    <t>Monthly Subscription Price</t>
  </si>
  <si>
    <t>Monthly Churn Rate</t>
  </si>
  <si>
    <t>Customer Acquisition Cost (CAC)</t>
  </si>
  <si>
    <t>Gross Margin</t>
  </si>
  <si>
    <t>Marketing Spend per Month</t>
  </si>
  <si>
    <t>Total Active Customers</t>
  </si>
  <si>
    <t>Customer Lifetime Value (LTV)</t>
  </si>
  <si>
    <t>Acquisition Efficiency</t>
  </si>
  <si>
    <t>SaaS Unit Economics — Scenario Stress Test</t>
  </si>
  <si>
    <t>Comparing Expected, Best, and Worst Case outcomes across 7 model inputs</t>
  </si>
  <si>
    <t>The Worst Case column is highlighted in coral to flag the scenario worth the most attention-particularly ,</t>
  </si>
  <si>
    <t>Net New Customers, which turns negative and is highlighted separately to show where the business risk actually is.</t>
  </si>
  <si>
    <r>
      <rPr>
        <b/>
        <i/>
        <sz val="11"/>
        <color theme="1"/>
        <rFont val="Calibri"/>
        <family val="2"/>
        <scheme val="minor"/>
      </rPr>
      <t>Notes:</t>
    </r>
    <r>
      <rPr>
        <i/>
        <sz val="11"/>
        <color theme="1"/>
        <rFont val="Calibri"/>
        <family val="2"/>
        <scheme val="minor"/>
      </rPr>
      <t xml:space="preserve"> The "Current Values" column shows the model's live inputs at the time this summary was generated</t>
    </r>
  </si>
  <si>
    <t>GOAL SEEK — CHURN BREAKEVEN</t>
  </si>
  <si>
    <t>At what churn rate does LTV:CAC hit the risky 3.0 threshold?</t>
  </si>
  <si>
    <t>Answer: 10% (double the current 5%)</t>
  </si>
  <si>
    <t>But at 10% churn, Net New Customers is already negative —</t>
  </si>
  <si>
    <t>the ratio was still "safe" while the business was shrinking.</t>
  </si>
  <si>
    <t>DATA TABLE — CHURN vs LTV:CAC</t>
  </si>
  <si>
    <t>Churn Rate → LTV:CAC</t>
  </si>
  <si>
    <t>2% → 18.7</t>
  </si>
  <si>
    <t>4% → 9.4</t>
  </si>
  <si>
    <t>6% → 6.2</t>
  </si>
  <si>
    <t>8% → 4.7</t>
  </si>
  <si>
    <t>10% → 3.7</t>
  </si>
  <si>
    <t>12% → 3.1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</si>
</sst>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₹#,##0"/>
    <numFmt numFmtId="165" formatCode="0.0%"/>
    <numFmt numFmtId="166" formatCode="0.0"/>
  </numFmts>
  <fonts count="18" x14ac:knownFonts="1">
    <font>
      <sz val="11"/>
      <color theme="1"/>
      <name val="Calibri"/>
      <family val="2"/>
      <scheme val="minor"/>
    </font>
    <font>
      <b/>
      <sz val="18"/>
      <name val="Calibri"/>
    </font>
    <font>
      <i/>
      <sz val="11"/>
      <color rgb="FF6B7280"/>
      <name val="Calibri"/>
    </font>
    <font>
      <b/>
      <sz val="13"/>
      <color rgb="FFFFFFFF"/>
      <name val="Calibri"/>
    </font>
    <font>
      <b/>
      <sz val="11"/>
      <name val="Calibri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i/>
      <sz val="11"/>
      <color theme="0" tint="-0.499984740745262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  <fill>
      <patternFill patternType="solid">
        <fgColor indexed="22"/>
        <bgColor indexed="24"/>
      </patternFill>
    </fill>
    <fill>
      <patternFill patternType="solid">
        <fgColor rgb="FF134E4A"/>
        <bgColor indexed="64"/>
      </patternFill>
    </fill>
    <fill>
      <patternFill patternType="solid">
        <fgColor rgb="FF1E293B"/>
        <bgColor indexed="24"/>
      </patternFill>
    </fill>
    <fill>
      <patternFill patternType="solid">
        <fgColor rgb="FF0F766E"/>
        <bgColor indexed="24"/>
      </patternFill>
    </fill>
    <fill>
      <patternFill patternType="solid">
        <fgColor rgb="FF0F766E"/>
        <bgColor indexed="64"/>
      </patternFill>
    </fill>
    <fill>
      <patternFill patternType="solid">
        <fgColor rgb="FFFED7AA"/>
        <bgColor indexed="64"/>
      </patternFill>
    </fill>
    <fill>
      <patternFill patternType="solid">
        <fgColor rgb="FFEA580C"/>
        <bgColor indexed="64"/>
      </patternFill>
    </fill>
    <fill>
      <patternFill patternType="solid">
        <fgColor theme="9" tint="0.39997558519241921"/>
        <bgColor indexed="2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indexed="7"/>
      </patternFill>
    </fill>
    <fill>
      <patternFill patternType="solid">
        <fgColor rgb="FFCCFBF1"/>
        <bgColor indexed="64"/>
      </patternFill>
    </fill>
    <fill>
      <patternFill patternType="solid">
        <fgColor theme="0"/>
        <bgColor indexed="24"/>
      </patternFill>
    </fill>
  </fills>
  <borders count="6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" fontId="0" fillId="0" borderId="1" xfId="0" applyNumberFormat="1" applyBorder="1"/>
    <xf numFmtId="166" fontId="0" fillId="0" borderId="1" xfId="0" applyNumberFormat="1" applyBorder="1"/>
    <xf numFmtId="2" fontId="0" fillId="0" borderId="1" xfId="0" applyNumberFormat="1" applyBorder="1"/>
    <xf numFmtId="0" fontId="3" fillId="2" borderId="0" xfId="0" applyFont="1" applyFill="1"/>
    <xf numFmtId="0" fontId="0" fillId="0" borderId="0" xfId="0"/>
    <xf numFmtId="0" fontId="0" fillId="0" borderId="0" xfId="0" applyFill="1" applyBorder="1" applyAlignment="1"/>
    <xf numFmtId="0" fontId="8" fillId="3" borderId="0" xfId="0" applyFont="1" applyFill="1" applyBorder="1" applyAlignment="1">
      <alignment horizontal="left"/>
    </xf>
    <xf numFmtId="0" fontId="11" fillId="0" borderId="0" xfId="0" applyFont="1" applyFill="1" applyBorder="1" applyAlignment="1">
      <alignment vertical="top" wrapText="1"/>
    </xf>
    <xf numFmtId="2" fontId="0" fillId="0" borderId="0" xfId="0" applyNumberFormat="1"/>
    <xf numFmtId="9" fontId="0" fillId="0" borderId="0" xfId="0" applyNumberFormat="1"/>
    <xf numFmtId="0" fontId="13" fillId="4" borderId="0" xfId="0" applyFont="1" applyFill="1" applyAlignment="1">
      <alignment horizontal="center"/>
    </xf>
    <xf numFmtId="0" fontId="7" fillId="5" borderId="2" xfId="0" applyFont="1" applyFill="1" applyBorder="1" applyAlignment="1">
      <alignment horizontal="left"/>
    </xf>
    <xf numFmtId="0" fontId="10" fillId="5" borderId="2" xfId="0" applyFont="1" applyFill="1" applyBorder="1" applyAlignment="1">
      <alignment horizontal="right"/>
    </xf>
    <xf numFmtId="0" fontId="7" fillId="6" borderId="4" xfId="0" applyFont="1" applyFill="1" applyBorder="1" applyAlignment="1">
      <alignment horizontal="left"/>
    </xf>
    <xf numFmtId="0" fontId="10" fillId="6" borderId="4" xfId="0" applyFont="1" applyFill="1" applyBorder="1" applyAlignment="1">
      <alignment horizontal="right"/>
    </xf>
    <xf numFmtId="166" fontId="0" fillId="9" borderId="0" xfId="0" applyNumberFormat="1" applyFill="1" applyBorder="1" applyAlignment="1"/>
    <xf numFmtId="0" fontId="9" fillId="10" borderId="5" xfId="0" applyFont="1" applyFill="1" applyBorder="1" applyAlignment="1">
      <alignment horizontal="left"/>
    </xf>
    <xf numFmtId="0" fontId="0" fillId="11" borderId="5" xfId="0" applyFill="1" applyBorder="1" applyAlignment="1"/>
    <xf numFmtId="0" fontId="8" fillId="10" borderId="0" xfId="0" applyFont="1" applyFill="1" applyBorder="1" applyAlignment="1">
      <alignment horizontal="left"/>
    </xf>
    <xf numFmtId="0" fontId="0" fillId="11" borderId="0" xfId="0" applyFill="1" applyBorder="1" applyAlignment="1"/>
    <xf numFmtId="0" fontId="0" fillId="12" borderId="0" xfId="0" applyFill="1" applyBorder="1" applyAlignment="1"/>
    <xf numFmtId="165" fontId="0" fillId="11" borderId="0" xfId="0" applyNumberFormat="1" applyFill="1" applyBorder="1" applyAlignment="1"/>
    <xf numFmtId="165" fontId="0" fillId="12" borderId="0" xfId="0" applyNumberFormat="1" applyFill="1" applyBorder="1" applyAlignment="1"/>
    <xf numFmtId="164" fontId="0" fillId="11" borderId="0" xfId="0" applyNumberFormat="1" applyFill="1" applyBorder="1" applyAlignment="1"/>
    <xf numFmtId="164" fontId="0" fillId="12" borderId="0" xfId="0" applyNumberFormat="1" applyFill="1" applyBorder="1" applyAlignment="1"/>
    <xf numFmtId="1" fontId="0" fillId="11" borderId="0" xfId="0" applyNumberFormat="1" applyFill="1" applyBorder="1" applyAlignment="1"/>
    <xf numFmtId="166" fontId="0" fillId="11" borderId="0" xfId="0" applyNumberFormat="1" applyFill="1" applyBorder="1" applyAlignment="1"/>
    <xf numFmtId="2" fontId="0" fillId="11" borderId="0" xfId="0" applyNumberFormat="1" applyFill="1" applyBorder="1" applyAlignment="1"/>
    <xf numFmtId="0" fontId="8" fillId="10" borderId="3" xfId="0" applyFont="1" applyFill="1" applyBorder="1" applyAlignment="1">
      <alignment horizontal="left"/>
    </xf>
    <xf numFmtId="166" fontId="0" fillId="11" borderId="3" xfId="0" applyNumberFormat="1" applyFill="1" applyBorder="1" applyAlignment="1"/>
    <xf numFmtId="0" fontId="0" fillId="13" borderId="0" xfId="0" applyFill="1"/>
    <xf numFmtId="0" fontId="12" fillId="13" borderId="0" xfId="0" applyFont="1" applyFill="1"/>
    <xf numFmtId="0" fontId="8" fillId="14" borderId="0" xfId="0" applyFont="1" applyFill="1" applyBorder="1" applyAlignment="1">
      <alignment horizontal="left"/>
    </xf>
    <xf numFmtId="0" fontId="0" fillId="4" borderId="0" xfId="0" applyFill="1"/>
    <xf numFmtId="0" fontId="5" fillId="4" borderId="0" xfId="0" applyFont="1" applyFill="1"/>
    <xf numFmtId="0" fontId="15" fillId="4" borderId="0" xfId="0" applyFont="1" applyFill="1"/>
    <xf numFmtId="0" fontId="0" fillId="7" borderId="0" xfId="0" applyFill="1"/>
    <xf numFmtId="0" fontId="6" fillId="8" borderId="0" xfId="0" applyFont="1" applyFill="1"/>
    <xf numFmtId="0" fontId="16" fillId="4" borderId="0" xfId="0" applyFont="1" applyFill="1" applyAlignment="1">
      <alignment horizontal="center"/>
    </xf>
    <xf numFmtId="0" fontId="17" fillId="4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134E4A"/>
      <color rgb="FFF0FDFA"/>
      <color rgb="FFFFFBEB"/>
      <color rgb="FFFED7AA"/>
      <color rgb="FFCCFBF1"/>
      <color rgb="FF0F766E"/>
      <color rgb="FFEA580C"/>
      <color rgb="FF1E293B"/>
      <color rgb="FF0E749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6254D-95DC-4662-A888-B7AA0A6CEEAE}">
  <sheetPr>
    <outlinePr summaryBelow="0"/>
    <pageSetUpPr fitToPage="1"/>
  </sheetPr>
  <dimension ref="B1:S23"/>
  <sheetViews>
    <sheetView showGridLines="0" showRowColHeaders="0" tabSelected="1" zoomScale="90" zoomScaleNormal="90" workbookViewId="0">
      <selection activeCell="N35" sqref="N35"/>
    </sheetView>
  </sheetViews>
  <sheetFormatPr defaultRowHeight="15" outlineLevelRow="1" outlineLevelCol="1" x14ac:dyDescent="0.25"/>
  <cols>
    <col min="1" max="1" width="6.140625" customWidth="1"/>
    <col min="3" max="3" width="31.85546875" customWidth="1"/>
    <col min="4" max="4" width="15" customWidth="1" outlineLevel="1"/>
    <col min="5" max="7" width="13.140625" bestFit="1" customWidth="1" outlineLevel="1"/>
    <col min="8" max="8" width="4" customWidth="1"/>
    <col min="11" max="11" width="17.28515625" customWidth="1"/>
    <col min="12" max="12" width="15.140625" customWidth="1"/>
  </cols>
  <sheetData>
    <row r="1" spans="2:19" ht="26.25" customHeight="1" x14ac:dyDescent="0.4">
      <c r="B1" s="45" t="s">
        <v>36</v>
      </c>
      <c r="C1" s="17"/>
      <c r="D1" s="17"/>
      <c r="E1" s="17"/>
      <c r="F1" s="17"/>
      <c r="G1" s="17"/>
    </row>
    <row r="2" spans="2:19" ht="15.75" customHeight="1" thickBot="1" x14ac:dyDescent="0.3">
      <c r="B2" s="46" t="s">
        <v>37</v>
      </c>
      <c r="C2" s="46"/>
      <c r="D2" s="46"/>
      <c r="E2" s="46"/>
      <c r="F2" s="46"/>
      <c r="G2" s="46"/>
      <c r="I2" s="38" t="s">
        <v>40</v>
      </c>
      <c r="J2" s="38"/>
      <c r="K2" s="38"/>
      <c r="L2" s="38"/>
      <c r="M2" s="38"/>
      <c r="N2" s="38"/>
      <c r="O2" s="38"/>
      <c r="P2" s="38"/>
      <c r="Q2" s="38"/>
      <c r="R2" s="38"/>
      <c r="S2" s="38"/>
    </row>
    <row r="3" spans="2:19" ht="15.75" x14ac:dyDescent="0.25">
      <c r="B3" s="18" t="s">
        <v>23</v>
      </c>
      <c r="C3" s="18"/>
      <c r="D3" s="19"/>
      <c r="E3" s="19"/>
      <c r="F3" s="19"/>
      <c r="G3" s="19"/>
      <c r="I3" s="38" t="s">
        <v>38</v>
      </c>
      <c r="J3" s="38"/>
      <c r="K3" s="38"/>
      <c r="L3" s="38"/>
      <c r="M3" s="38"/>
      <c r="N3" s="38"/>
      <c r="O3" s="38"/>
      <c r="P3" s="38"/>
      <c r="Q3" s="38"/>
      <c r="R3" s="38"/>
      <c r="S3" s="38"/>
    </row>
    <row r="4" spans="2:19" ht="15.75" x14ac:dyDescent="0.25">
      <c r="B4" s="20"/>
      <c r="C4" s="20"/>
      <c r="D4" s="21" t="s">
        <v>25</v>
      </c>
      <c r="E4" s="21" t="s">
        <v>19</v>
      </c>
      <c r="F4" s="21" t="s">
        <v>21</v>
      </c>
      <c r="G4" s="21" t="s">
        <v>22</v>
      </c>
      <c r="I4" s="38" t="s">
        <v>39</v>
      </c>
      <c r="J4" s="38"/>
      <c r="K4" s="38"/>
      <c r="L4" s="38"/>
      <c r="M4" s="38"/>
      <c r="N4" s="38"/>
      <c r="O4" s="38"/>
      <c r="P4" s="38"/>
      <c r="Q4" s="38"/>
      <c r="R4" s="38"/>
      <c r="S4" s="38"/>
    </row>
    <row r="5" spans="2:19" ht="0.75" customHeight="1" outlineLevel="1" x14ac:dyDescent="0.25">
      <c r="B5" s="13"/>
      <c r="C5" s="13"/>
      <c r="D5" s="12"/>
      <c r="E5" s="14" t="s">
        <v>20</v>
      </c>
      <c r="F5" s="14" t="s">
        <v>20</v>
      </c>
      <c r="G5" s="14" t="s">
        <v>27</v>
      </c>
    </row>
    <row r="6" spans="2:19" ht="9" customHeight="1" outlineLevel="1" x14ac:dyDescent="0.25">
      <c r="B6" s="39"/>
      <c r="C6" s="39"/>
      <c r="D6" s="12"/>
      <c r="E6" s="14"/>
      <c r="F6" s="14"/>
      <c r="G6" s="14"/>
    </row>
    <row r="7" spans="2:19" x14ac:dyDescent="0.25">
      <c r="B7" s="23" t="s">
        <v>24</v>
      </c>
      <c r="C7" s="23"/>
      <c r="D7" s="24"/>
      <c r="E7" s="24"/>
      <c r="F7" s="24"/>
      <c r="G7" s="24"/>
    </row>
    <row r="8" spans="2:19" ht="15.75" outlineLevel="1" x14ac:dyDescent="0.25">
      <c r="B8" s="25"/>
      <c r="C8" s="25" t="s">
        <v>3</v>
      </c>
      <c r="D8" s="26">
        <v>250</v>
      </c>
      <c r="E8" s="27">
        <v>150</v>
      </c>
      <c r="F8" s="27">
        <v>250</v>
      </c>
      <c r="G8" s="27">
        <v>80</v>
      </c>
      <c r="I8" s="42" t="s">
        <v>41</v>
      </c>
      <c r="J8" s="40"/>
      <c r="K8" s="40"/>
      <c r="L8" s="42"/>
      <c r="M8" s="42"/>
    </row>
    <row r="9" spans="2:19" outlineLevel="1" x14ac:dyDescent="0.25">
      <c r="B9" s="25"/>
      <c r="C9" s="25" t="s">
        <v>29</v>
      </c>
      <c r="D9" s="28">
        <v>0.03</v>
      </c>
      <c r="E9" s="29">
        <v>0.05</v>
      </c>
      <c r="F9" s="29">
        <v>0.03</v>
      </c>
      <c r="G9" s="29">
        <v>0.08</v>
      </c>
      <c r="I9" s="37" t="s">
        <v>42</v>
      </c>
      <c r="J9" s="37"/>
      <c r="K9" s="37"/>
      <c r="L9" s="37"/>
      <c r="M9" s="37"/>
    </row>
    <row r="10" spans="2:19" outlineLevel="1" x14ac:dyDescent="0.25">
      <c r="B10" s="25"/>
      <c r="C10" s="25" t="s">
        <v>30</v>
      </c>
      <c r="D10" s="30">
        <v>2000</v>
      </c>
      <c r="E10" s="31">
        <v>2500</v>
      </c>
      <c r="F10" s="31">
        <v>2000</v>
      </c>
      <c r="G10" s="31">
        <v>3500</v>
      </c>
      <c r="I10" s="44" t="s">
        <v>43</v>
      </c>
      <c r="J10" s="44"/>
      <c r="K10" s="44"/>
      <c r="L10" s="44"/>
      <c r="M10" s="44"/>
    </row>
    <row r="11" spans="2:19" outlineLevel="1" x14ac:dyDescent="0.25">
      <c r="B11" s="25"/>
      <c r="C11" s="25" t="s">
        <v>28</v>
      </c>
      <c r="D11" s="30">
        <v>999</v>
      </c>
      <c r="E11" s="30">
        <v>999</v>
      </c>
      <c r="F11" s="30">
        <v>999</v>
      </c>
      <c r="G11" s="31">
        <v>999</v>
      </c>
      <c r="I11" s="37" t="s">
        <v>44</v>
      </c>
      <c r="J11" s="37"/>
      <c r="K11" s="37"/>
      <c r="L11" s="37"/>
      <c r="M11" s="37"/>
    </row>
    <row r="12" spans="2:19" outlineLevel="1" x14ac:dyDescent="0.25">
      <c r="B12" s="25"/>
      <c r="C12" s="25" t="s">
        <v>31</v>
      </c>
      <c r="D12" s="28">
        <v>0.75</v>
      </c>
      <c r="E12" s="28">
        <v>0.75</v>
      </c>
      <c r="F12" s="28">
        <v>0.75</v>
      </c>
      <c r="G12" s="29">
        <v>0.75</v>
      </c>
      <c r="I12" s="37" t="s">
        <v>45</v>
      </c>
      <c r="J12" s="37"/>
      <c r="K12" s="37"/>
      <c r="L12" s="37"/>
      <c r="M12" s="37"/>
    </row>
    <row r="13" spans="2:19" outlineLevel="1" x14ac:dyDescent="0.25">
      <c r="B13" s="25"/>
      <c r="C13" s="25" t="s">
        <v>8</v>
      </c>
      <c r="D13" s="26">
        <v>2000</v>
      </c>
      <c r="E13" s="26">
        <v>2000</v>
      </c>
      <c r="F13" s="26">
        <v>2000</v>
      </c>
      <c r="G13" s="27">
        <v>2000</v>
      </c>
    </row>
    <row r="14" spans="2:19" outlineLevel="1" x14ac:dyDescent="0.25">
      <c r="B14" s="25"/>
      <c r="C14" s="25" t="s">
        <v>32</v>
      </c>
      <c r="D14" s="30">
        <v>375000</v>
      </c>
      <c r="E14" s="30">
        <v>375000</v>
      </c>
      <c r="F14" s="30">
        <v>375000</v>
      </c>
      <c r="G14" s="31">
        <v>375000</v>
      </c>
    </row>
    <row r="15" spans="2:19" x14ac:dyDescent="0.25">
      <c r="B15" s="23" t="s">
        <v>26</v>
      </c>
      <c r="C15" s="23"/>
      <c r="D15" s="24"/>
      <c r="E15" s="24"/>
      <c r="F15" s="24"/>
      <c r="G15" s="24"/>
    </row>
    <row r="16" spans="2:19" ht="15.75" outlineLevel="1" x14ac:dyDescent="0.25">
      <c r="B16" s="25"/>
      <c r="C16" s="25" t="s">
        <v>33</v>
      </c>
      <c r="D16" s="32">
        <v>2190</v>
      </c>
      <c r="E16" s="32">
        <v>2050</v>
      </c>
      <c r="F16" s="32">
        <v>2190</v>
      </c>
      <c r="G16" s="32">
        <v>1920</v>
      </c>
      <c r="I16" s="42" t="s">
        <v>46</v>
      </c>
      <c r="J16" s="41"/>
      <c r="K16" s="41"/>
    </row>
    <row r="17" spans="2:11" outlineLevel="1" x14ac:dyDescent="0.25">
      <c r="B17" s="25"/>
      <c r="C17" s="25" t="s">
        <v>12</v>
      </c>
      <c r="D17" s="30">
        <v>2187810</v>
      </c>
      <c r="E17" s="30">
        <v>2047950</v>
      </c>
      <c r="F17" s="30">
        <v>2187810</v>
      </c>
      <c r="G17" s="30">
        <v>1918080</v>
      </c>
      <c r="I17" s="43" t="s">
        <v>47</v>
      </c>
      <c r="J17" s="43"/>
      <c r="K17" s="43"/>
    </row>
    <row r="18" spans="2:11" outlineLevel="1" x14ac:dyDescent="0.25">
      <c r="B18" s="25"/>
      <c r="C18" s="25" t="s">
        <v>13</v>
      </c>
      <c r="D18" s="33">
        <v>33.3333333333333</v>
      </c>
      <c r="E18" s="33">
        <v>20</v>
      </c>
      <c r="F18" s="33">
        <v>33.3333333333333</v>
      </c>
      <c r="G18" s="33">
        <v>12.5</v>
      </c>
      <c r="I18" s="37" t="s">
        <v>48</v>
      </c>
      <c r="J18" s="37"/>
      <c r="K18" s="37"/>
    </row>
    <row r="19" spans="2:11" outlineLevel="1" x14ac:dyDescent="0.25">
      <c r="B19" s="25"/>
      <c r="C19" s="25" t="s">
        <v>34</v>
      </c>
      <c r="D19" s="30">
        <v>24975</v>
      </c>
      <c r="E19" s="30">
        <v>14985</v>
      </c>
      <c r="F19" s="30">
        <v>24975</v>
      </c>
      <c r="G19" s="30">
        <v>9365.625</v>
      </c>
      <c r="I19" s="37" t="s">
        <v>49</v>
      </c>
      <c r="J19" s="37"/>
      <c r="K19" s="37"/>
    </row>
    <row r="20" spans="2:11" outlineLevel="1" x14ac:dyDescent="0.25">
      <c r="B20" s="25"/>
      <c r="C20" s="25" t="s">
        <v>15</v>
      </c>
      <c r="D20" s="34">
        <v>12.487500000000001</v>
      </c>
      <c r="E20" s="34">
        <v>5.9939999999999998</v>
      </c>
      <c r="F20" s="34">
        <v>12.487500000000001</v>
      </c>
      <c r="G20" s="34">
        <v>2.67589285714286</v>
      </c>
      <c r="I20" s="37" t="s">
        <v>50</v>
      </c>
      <c r="J20" s="37"/>
      <c r="K20" s="37"/>
    </row>
    <row r="21" spans="2:11" outlineLevel="1" x14ac:dyDescent="0.25">
      <c r="B21" s="25"/>
      <c r="C21" s="25" t="s">
        <v>16</v>
      </c>
      <c r="D21" s="33">
        <v>60</v>
      </c>
      <c r="E21" s="33">
        <v>100</v>
      </c>
      <c r="F21" s="33">
        <v>60</v>
      </c>
      <c r="G21" s="33">
        <v>160</v>
      </c>
      <c r="I21" s="37" t="s">
        <v>51</v>
      </c>
      <c r="J21" s="37"/>
      <c r="K21" s="37"/>
    </row>
    <row r="22" spans="2:11" outlineLevel="1" x14ac:dyDescent="0.25">
      <c r="B22" s="25"/>
      <c r="C22" s="25" t="s">
        <v>17</v>
      </c>
      <c r="D22" s="33">
        <v>190</v>
      </c>
      <c r="E22" s="33">
        <v>50</v>
      </c>
      <c r="F22" s="33">
        <v>190</v>
      </c>
      <c r="G22" s="22">
        <v>-80</v>
      </c>
      <c r="I22" s="37" t="s">
        <v>52</v>
      </c>
      <c r="J22" s="37"/>
      <c r="K22" s="37"/>
    </row>
    <row r="23" spans="2:11" ht="15.75" outlineLevel="1" thickBot="1" x14ac:dyDescent="0.3">
      <c r="B23" s="35"/>
      <c r="C23" s="35" t="s">
        <v>35</v>
      </c>
      <c r="D23" s="36">
        <v>0.66666666666666696</v>
      </c>
      <c r="E23" s="36">
        <v>0.4</v>
      </c>
      <c r="F23" s="36">
        <v>0.66666666666666696</v>
      </c>
      <c r="G23" s="36">
        <v>0.21333333333333299</v>
      </c>
      <c r="I23" s="37" t="s">
        <v>53</v>
      </c>
      <c r="J23" s="37"/>
      <c r="K23" s="37"/>
    </row>
  </sheetData>
  <mergeCells count="2">
    <mergeCell ref="B1:G1"/>
    <mergeCell ref="B2:G2"/>
  </mergeCells>
  <pageMargins left="0.7" right="0.7" top="0.75" bottom="0.75" header="0.3" footer="0.3"/>
  <pageSetup scale="5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workbookViewId="0">
      <selection activeCell="C19" sqref="C19"/>
    </sheetView>
  </sheetViews>
  <sheetFormatPr defaultRowHeight="15" x14ac:dyDescent="0.25"/>
  <cols>
    <col min="1" max="1" width="42" customWidth="1"/>
    <col min="2" max="2" width="16" customWidth="1"/>
    <col min="5" max="5" width="9.5703125" bestFit="1" customWidth="1"/>
  </cols>
  <sheetData>
    <row r="1" spans="1:5" ht="23.25" x14ac:dyDescent="0.35">
      <c r="A1" s="1" t="s">
        <v>0</v>
      </c>
    </row>
    <row r="2" spans="1:5" x14ac:dyDescent="0.25">
      <c r="A2" s="2" t="s">
        <v>1</v>
      </c>
    </row>
    <row r="4" spans="1:5" ht="17.25" x14ac:dyDescent="0.3">
      <c r="A4" s="10" t="s">
        <v>2</v>
      </c>
      <c r="B4" s="11"/>
      <c r="E4" s="15">
        <f>B18</f>
        <v>12.487500000000001</v>
      </c>
    </row>
    <row r="5" spans="1:5" x14ac:dyDescent="0.25">
      <c r="A5" s="3" t="s">
        <v>3</v>
      </c>
      <c r="B5" s="4">
        <v>250</v>
      </c>
      <c r="D5" s="16">
        <v>0.02</v>
      </c>
      <c r="E5" s="15">
        <f t="dataTable" ref="E5:E10" dt2D="0" dtr="0" r1="B7"/>
        <v>18.731249999999999</v>
      </c>
    </row>
    <row r="6" spans="1:5" x14ac:dyDescent="0.25">
      <c r="A6" s="3" t="s">
        <v>4</v>
      </c>
      <c r="B6" s="5">
        <v>999</v>
      </c>
      <c r="D6" s="16">
        <v>0.04</v>
      </c>
      <c r="E6" s="15">
        <v>9.3656249999999996</v>
      </c>
    </row>
    <row r="7" spans="1:5" x14ac:dyDescent="0.25">
      <c r="A7" s="3" t="s">
        <v>5</v>
      </c>
      <c r="B7" s="6">
        <v>0.03</v>
      </c>
      <c r="D7" s="16">
        <v>0.06</v>
      </c>
      <c r="E7" s="15">
        <v>6.2437500000000004</v>
      </c>
    </row>
    <row r="8" spans="1:5" x14ac:dyDescent="0.25">
      <c r="A8" s="3" t="s">
        <v>6</v>
      </c>
      <c r="B8" s="5">
        <v>2000</v>
      </c>
      <c r="D8" s="16">
        <v>0.08</v>
      </c>
      <c r="E8" s="15">
        <v>4.6828124999999998</v>
      </c>
    </row>
    <row r="9" spans="1:5" x14ac:dyDescent="0.25">
      <c r="A9" s="3" t="s">
        <v>7</v>
      </c>
      <c r="B9" s="6">
        <v>0.75</v>
      </c>
      <c r="D9" s="16">
        <v>0.1</v>
      </c>
      <c r="E9" s="15">
        <v>3.7462499999999999</v>
      </c>
    </row>
    <row r="10" spans="1:5" x14ac:dyDescent="0.25">
      <c r="A10" s="3" t="s">
        <v>8</v>
      </c>
      <c r="B10" s="4">
        <v>2000</v>
      </c>
      <c r="D10" s="16">
        <v>0.12</v>
      </c>
      <c r="E10" s="15">
        <v>3.1218750000000002</v>
      </c>
    </row>
    <row r="11" spans="1:5" x14ac:dyDescent="0.25">
      <c r="A11" s="3" t="s">
        <v>9</v>
      </c>
      <c r="B11" s="5">
        <v>375000</v>
      </c>
    </row>
    <row r="13" spans="1:5" ht="17.25" x14ac:dyDescent="0.3">
      <c r="A13" s="10" t="s">
        <v>10</v>
      </c>
      <c r="B13" s="11"/>
    </row>
    <row r="14" spans="1:5" x14ac:dyDescent="0.25">
      <c r="A14" s="3" t="s">
        <v>11</v>
      </c>
      <c r="B14" s="7">
        <f>B10+B5-(B10*B7)</f>
        <v>2190</v>
      </c>
    </row>
    <row r="15" spans="1:5" x14ac:dyDescent="0.25">
      <c r="A15" s="3" t="s">
        <v>12</v>
      </c>
      <c r="B15" s="5">
        <f>B14*B6</f>
        <v>2187810</v>
      </c>
    </row>
    <row r="16" spans="1:5" x14ac:dyDescent="0.25">
      <c r="A16" s="3" t="s">
        <v>13</v>
      </c>
      <c r="B16" s="8">
        <f>1/B7</f>
        <v>33.333333333333336</v>
      </c>
    </row>
    <row r="17" spans="1:2" x14ac:dyDescent="0.25">
      <c r="A17" s="3" t="s">
        <v>14</v>
      </c>
      <c r="B17" s="5">
        <f>B6*B9*B16</f>
        <v>24975</v>
      </c>
    </row>
    <row r="18" spans="1:2" x14ac:dyDescent="0.25">
      <c r="A18" s="3" t="s">
        <v>15</v>
      </c>
      <c r="B18" s="9">
        <f>B17/B8</f>
        <v>12.487500000000001</v>
      </c>
    </row>
    <row r="19" spans="1:2" x14ac:dyDescent="0.25">
      <c r="A19" s="3" t="s">
        <v>16</v>
      </c>
      <c r="B19" s="8">
        <f>B10*B7</f>
        <v>60</v>
      </c>
    </row>
    <row r="20" spans="1:2" x14ac:dyDescent="0.25">
      <c r="A20" s="3" t="s">
        <v>17</v>
      </c>
      <c r="B20" s="8">
        <f>B5-B19</f>
        <v>190</v>
      </c>
    </row>
    <row r="21" spans="1:2" x14ac:dyDescent="0.25">
      <c r="A21" s="3" t="s">
        <v>18</v>
      </c>
      <c r="B21" s="8">
        <f>B5/(B11/1000)</f>
        <v>0.66666666666666663</v>
      </c>
    </row>
  </sheetData>
  <scenarios current="0" show="1" sqref="B14:B21">
    <scenario name="Expected Case" locked="1" count="7" user="Windows" comment="Created by Windows on 30-08-2026_x000a_Modified by Windows on 30-08-2026">
      <inputCells r="B5" val="150"/>
      <inputCells r="B6" val="999" numFmtId="164"/>
      <inputCells r="B7" val="0.05" numFmtId="165"/>
      <inputCells r="B8" val="2500" numFmtId="164"/>
      <inputCells r="B9" val="0.75" numFmtId="165"/>
      <inputCells r="B10" val="2000"/>
      <inputCells r="B11" val="375000" numFmtId="164"/>
    </scenario>
    <scenario name="Best Case" locked="1" count="7" user="Windows" comment="Created by Windows on 30-08-2026_x000a_Modified by Windows on 30-08-2026">
      <inputCells r="B5" val="250"/>
      <inputCells r="B6" val="999" numFmtId="164"/>
      <inputCells r="B7" val="0.03" numFmtId="165"/>
      <inputCells r="B8" val="2000" numFmtId="164"/>
      <inputCells r="B9" val="0.75" numFmtId="165"/>
      <inputCells r="B10" val="2000"/>
      <inputCells r="B11" val="375000" numFmtId="164"/>
    </scenario>
    <scenario name="Worst Case" locked="1" count="7" user="Windows" comment="Created by Windows on 30-08-2026_x000a_Modified by Windows on 30-08-2026">
      <inputCells r="B5" val="80"/>
      <inputCells r="B6" val="999" numFmtId="164"/>
      <inputCells r="B7" val="0.08" numFmtId="165"/>
      <inputCells r="B8" val="3500" numFmtId="164"/>
      <inputCells r="B9" val="0.75" numFmtId="165"/>
      <inputCells r="B10" val="2000"/>
      <inputCells r="B11" val="375000" numFmtId="164"/>
    </scenario>
  </scenarios>
  <mergeCells count="2">
    <mergeCell ref="A4:B4"/>
    <mergeCell ref="A13:B13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Scenario Summary </vt:lpstr>
      <vt:lpstr>SaaS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Kushal Reddy Marthala</cp:lastModifiedBy>
  <cp:lastPrinted>2026-08-30T08:09:35Z</cp:lastPrinted>
  <dcterms:created xsi:type="dcterms:W3CDTF">2026-08-30T06:45:36Z</dcterms:created>
  <dcterms:modified xsi:type="dcterms:W3CDTF">2026-08-30T08:10:43Z</dcterms:modified>
</cp:coreProperties>
</file>