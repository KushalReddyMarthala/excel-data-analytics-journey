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8_{8A57F7B3-4484-482E-90C4-80E5460D8A7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bscription Data" sheetId="1" r:id="rId1"/>
    <sheet name="Calculations" sheetId="2" r:id="rId2"/>
    <sheet name="Insights" sheetId="3" r:id="rId3"/>
  </sheets>
  <definedNames>
    <definedName name="_xlnm._FilterDatabase" localSheetId="1" hidden="1">Calculations!$A$1:$G$101</definedName>
    <definedName name="_xlchart.v1.0" hidden="1">Insights!$B$13:$B$15</definedName>
    <definedName name="_xlchart.v1.1" hidden="1">Insights!$C$12</definedName>
    <definedName name="_xlchart.v1.2" hidden="1">Insights!$C$13:$C$15</definedName>
    <definedName name="_xlchart.v1.3" hidden="1">Insights!$D$12</definedName>
    <definedName name="_xlchart.v1.4" hidden="1">Insights!$D$13:$D$15</definedName>
  </definedNames>
  <calcPr calcId="191029"/>
</workbook>
</file>

<file path=xl/calcChain.xml><?xml version="1.0" encoding="utf-8"?>
<calcChain xmlns="http://schemas.openxmlformats.org/spreadsheetml/2006/main">
  <c r="M19" i="2" l="1"/>
  <c r="M20" i="2"/>
  <c r="M21" i="2"/>
  <c r="M18" i="2"/>
  <c r="L21" i="2"/>
  <c r="L20" i="2"/>
  <c r="L19" i="2"/>
  <c r="L18" i="2"/>
  <c r="K21" i="2"/>
  <c r="K20" i="2"/>
  <c r="K19" i="2"/>
  <c r="K18" i="2"/>
  <c r="L15" i="2"/>
  <c r="L14" i="2"/>
  <c r="L13" i="2"/>
  <c r="K15" i="2"/>
  <c r="K14" i="2"/>
  <c r="K13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K3" i="2"/>
  <c r="K4" i="2"/>
  <c r="K5" i="2"/>
  <c r="K2" i="2"/>
  <c r="J3" i="2"/>
  <c r="L3" i="2" s="1"/>
  <c r="J4" i="2"/>
  <c r="L4" i="2" s="1"/>
  <c r="J5" i="2"/>
  <c r="L5" i="2" s="1"/>
  <c r="J2" i="2"/>
  <c r="L2" i="2" s="1"/>
  <c r="M3" i="2" l="1"/>
  <c r="M4" i="2"/>
  <c r="M2" i="2"/>
</calcChain>
</file>

<file path=xl/sharedStrings.xml><?xml version="1.0" encoding="utf-8"?>
<sst xmlns="http://schemas.openxmlformats.org/spreadsheetml/2006/main" count="1178" uniqueCount="254">
  <si>
    <t>Customer ID</t>
  </si>
  <si>
    <t>Signup Date</t>
  </si>
  <si>
    <t>Plan</t>
  </si>
  <si>
    <t>Monthly Fee</t>
  </si>
  <si>
    <t>Country</t>
  </si>
  <si>
    <t>Region</t>
  </si>
  <si>
    <t>Tenure (Months)</t>
  </si>
  <si>
    <t>Status</t>
  </si>
  <si>
    <t>CUST2001</t>
  </si>
  <si>
    <t>18-02-2024</t>
  </si>
  <si>
    <t>Standard</t>
  </si>
  <si>
    <t>USA</t>
  </si>
  <si>
    <t>West</t>
  </si>
  <si>
    <t>Churned</t>
  </si>
  <si>
    <t>CUST2002</t>
  </si>
  <si>
    <t>30-03-2023</t>
  </si>
  <si>
    <t>Australia</t>
  </si>
  <si>
    <t>Queensland</t>
  </si>
  <si>
    <t>Active</t>
  </si>
  <si>
    <t>CUST2003</t>
  </si>
  <si>
    <t>02-04-2023</t>
  </si>
  <si>
    <t>Premium</t>
  </si>
  <si>
    <t>NSW</t>
  </si>
  <si>
    <t>CUST2004</t>
  </si>
  <si>
    <t>25-08-2024</t>
  </si>
  <si>
    <t>Basic</t>
  </si>
  <si>
    <t>UK</t>
  </si>
  <si>
    <t>Manchester</t>
  </si>
  <si>
    <t>CUST2005</t>
  </si>
  <si>
    <t>17-04-2024</t>
  </si>
  <si>
    <t>Midwest</t>
  </si>
  <si>
    <t>CUST2006</t>
  </si>
  <si>
    <t>25-06-2024</t>
  </si>
  <si>
    <t>India</t>
  </si>
  <si>
    <t>CUST2007</t>
  </si>
  <si>
    <t>03-10-2023</t>
  </si>
  <si>
    <t>CUST2008</t>
  </si>
  <si>
    <t>01-07-2024</t>
  </si>
  <si>
    <t>CUST2009</t>
  </si>
  <si>
    <t>22-02-2023</t>
  </si>
  <si>
    <t>CUST2010</t>
  </si>
  <si>
    <t>28-03-2024</t>
  </si>
  <si>
    <t>CUST2011</t>
  </si>
  <si>
    <t>25-06-2023</t>
  </si>
  <si>
    <t>CUST2012</t>
  </si>
  <si>
    <t>27-05-2023</t>
  </si>
  <si>
    <t>CUST2013</t>
  </si>
  <si>
    <t>20-02-2024</t>
  </si>
  <si>
    <t>South</t>
  </si>
  <si>
    <t>CUST2014</t>
  </si>
  <si>
    <t>Scotland</t>
  </si>
  <si>
    <t>CUST2015</t>
  </si>
  <si>
    <t>15-05-2023</t>
  </si>
  <si>
    <t>CUST2016</t>
  </si>
  <si>
    <t>28-05-2023</t>
  </si>
  <si>
    <t>CUST2017</t>
  </si>
  <si>
    <t>01-08-2023</t>
  </si>
  <si>
    <t>CUST2018</t>
  </si>
  <si>
    <t>01-05-2023</t>
  </si>
  <si>
    <t>East</t>
  </si>
  <si>
    <t>CUST2019</t>
  </si>
  <si>
    <t>22-08-2024</t>
  </si>
  <si>
    <t>London</t>
  </si>
  <si>
    <t>CUST2020</t>
  </si>
  <si>
    <t>13-02-2024</t>
  </si>
  <si>
    <t>Victoria</t>
  </si>
  <si>
    <t>CUST2021</t>
  </si>
  <si>
    <t>08-02-2023</t>
  </si>
  <si>
    <t>CUST2022</t>
  </si>
  <si>
    <t>01-11-2024</t>
  </si>
  <si>
    <t>CUST2023</t>
  </si>
  <si>
    <t>12-08-2023</t>
  </si>
  <si>
    <t>CUST2024</t>
  </si>
  <si>
    <t>24-03-2023</t>
  </si>
  <si>
    <t>CUST2025</t>
  </si>
  <si>
    <t>25-11-2023</t>
  </si>
  <si>
    <t>CUST2026</t>
  </si>
  <si>
    <t>24-02-2024</t>
  </si>
  <si>
    <t>CUST2027</t>
  </si>
  <si>
    <t>10-09-2024</t>
  </si>
  <si>
    <t>CUST2028</t>
  </si>
  <si>
    <t>22-07-2023</t>
  </si>
  <si>
    <t>CUST2029</t>
  </si>
  <si>
    <t>17-07-2023</t>
  </si>
  <si>
    <t>CUST2030</t>
  </si>
  <si>
    <t>25-08-2023</t>
  </si>
  <si>
    <t>CUST2031</t>
  </si>
  <si>
    <t>28-05-2024</t>
  </si>
  <si>
    <t>CUST2032</t>
  </si>
  <si>
    <t>19-11-2024</t>
  </si>
  <si>
    <t>CUST2033</t>
  </si>
  <si>
    <t>02-03-2024</t>
  </si>
  <si>
    <t>CUST2034</t>
  </si>
  <si>
    <t>18-04-2023</t>
  </si>
  <si>
    <t>North</t>
  </si>
  <si>
    <t>CUST2035</t>
  </si>
  <si>
    <t>14-01-2024</t>
  </si>
  <si>
    <t>CUST2036</t>
  </si>
  <si>
    <t>09-02-2024</t>
  </si>
  <si>
    <t>CUST2037</t>
  </si>
  <si>
    <t>14-05-2023</t>
  </si>
  <si>
    <t>CUST2038</t>
  </si>
  <si>
    <t>03-07-2023</t>
  </si>
  <si>
    <t>CUST2039</t>
  </si>
  <si>
    <t>27-01-2024</t>
  </si>
  <si>
    <t>CUST2040</t>
  </si>
  <si>
    <t>02-05-2024</t>
  </si>
  <si>
    <t>CUST2041</t>
  </si>
  <si>
    <t>15-04-2024</t>
  </si>
  <si>
    <t>CUST2042</t>
  </si>
  <si>
    <t>15-03-2023</t>
  </si>
  <si>
    <t>CUST2043</t>
  </si>
  <si>
    <t>23-11-2023</t>
  </si>
  <si>
    <t>CUST2044</t>
  </si>
  <si>
    <t>18-02-2023</t>
  </si>
  <si>
    <t>CUST2045</t>
  </si>
  <si>
    <t>22-07-2024</t>
  </si>
  <si>
    <t>CUST2046</t>
  </si>
  <si>
    <t>03-03-2024</t>
  </si>
  <si>
    <t>CUST2047</t>
  </si>
  <si>
    <t>10-10-2023</t>
  </si>
  <si>
    <t>CUST2048</t>
  </si>
  <si>
    <t>26-07-2024</t>
  </si>
  <si>
    <t>CUST2049</t>
  </si>
  <si>
    <t>25-11-2024</t>
  </si>
  <si>
    <t>CUST2050</t>
  </si>
  <si>
    <t>03-02-2023</t>
  </si>
  <si>
    <t>CUST2051</t>
  </si>
  <si>
    <t>26-08-2023</t>
  </si>
  <si>
    <t>CUST2052</t>
  </si>
  <si>
    <t>02-10-2024</t>
  </si>
  <si>
    <t>CUST2053</t>
  </si>
  <si>
    <t>31-05-2023</t>
  </si>
  <si>
    <t>CUST2054</t>
  </si>
  <si>
    <t>10-04-2023</t>
  </si>
  <si>
    <t>CUST2055</t>
  </si>
  <si>
    <t>CUST2056</t>
  </si>
  <si>
    <t>26-08-2024</t>
  </si>
  <si>
    <t>CUST2057</t>
  </si>
  <si>
    <t>16-05-2023</t>
  </si>
  <si>
    <t>CUST2058</t>
  </si>
  <si>
    <t>19-05-2024</t>
  </si>
  <si>
    <t>CUST2059</t>
  </si>
  <si>
    <t>30-11-2024</t>
  </si>
  <si>
    <t>CUST2060</t>
  </si>
  <si>
    <t>05-02-2023</t>
  </si>
  <si>
    <t>CUST2061</t>
  </si>
  <si>
    <t>21-11-2024</t>
  </si>
  <si>
    <t>CUST2062</t>
  </si>
  <si>
    <t>22-08-2023</t>
  </si>
  <si>
    <t>CUST2063</t>
  </si>
  <si>
    <t>24-09-2023</t>
  </si>
  <si>
    <t>CUST2064</t>
  </si>
  <si>
    <t>30-01-2023</t>
  </si>
  <si>
    <t>CUST2065</t>
  </si>
  <si>
    <t>18-09-2023</t>
  </si>
  <si>
    <t>CUST2066</t>
  </si>
  <si>
    <t>06-02-2023</t>
  </si>
  <si>
    <t>CUST2067</t>
  </si>
  <si>
    <t>27-08-2023</t>
  </si>
  <si>
    <t>CUST2068</t>
  </si>
  <si>
    <t>04-04-2023</t>
  </si>
  <si>
    <t>CUST2069</t>
  </si>
  <si>
    <t>02-08-2023</t>
  </si>
  <si>
    <t>CUST2070</t>
  </si>
  <si>
    <t>27-06-2023</t>
  </si>
  <si>
    <t>CUST2071</t>
  </si>
  <si>
    <t>20-09-2023</t>
  </si>
  <si>
    <t>CUST2072</t>
  </si>
  <si>
    <t>07-03-2024</t>
  </si>
  <si>
    <t>CUST2073</t>
  </si>
  <si>
    <t>01-08-2024</t>
  </si>
  <si>
    <t>CUST2074</t>
  </si>
  <si>
    <t>31-01-2023</t>
  </si>
  <si>
    <t>CUST2075</t>
  </si>
  <si>
    <t>21-02-2023</t>
  </si>
  <si>
    <t>CUST2076</t>
  </si>
  <si>
    <t>18-11-2024</t>
  </si>
  <si>
    <t>CUST2077</t>
  </si>
  <si>
    <t>27-04-2023</t>
  </si>
  <si>
    <t>CUST2078</t>
  </si>
  <si>
    <t>27-06-2024</t>
  </si>
  <si>
    <t>CUST2079</t>
  </si>
  <si>
    <t>28-01-2023</t>
  </si>
  <si>
    <t>CUST2080</t>
  </si>
  <si>
    <t>24-01-2024</t>
  </si>
  <si>
    <t>CUST2081</t>
  </si>
  <si>
    <t>07-06-2023</t>
  </si>
  <si>
    <t>CUST2082</t>
  </si>
  <si>
    <t>18-12-2023</t>
  </si>
  <si>
    <t>CUST2083</t>
  </si>
  <si>
    <t>CUST2084</t>
  </si>
  <si>
    <t>CUST2085</t>
  </si>
  <si>
    <t>22-10-2024</t>
  </si>
  <si>
    <t>CUST2086</t>
  </si>
  <si>
    <t>07-10-2023</t>
  </si>
  <si>
    <t>CUST2087</t>
  </si>
  <si>
    <t>30-11-2023</t>
  </si>
  <si>
    <t>CUST2088</t>
  </si>
  <si>
    <t>06-09-2023</t>
  </si>
  <si>
    <t>CUST2089</t>
  </si>
  <si>
    <t>08-09-2024</t>
  </si>
  <si>
    <t>CUST2090</t>
  </si>
  <si>
    <t>19-01-2023</t>
  </si>
  <si>
    <t>CUST2091</t>
  </si>
  <si>
    <t>CUST2092</t>
  </si>
  <si>
    <t>CUST2093</t>
  </si>
  <si>
    <t>01-09-2024</t>
  </si>
  <si>
    <t>CUST2094</t>
  </si>
  <si>
    <t>13-05-2023</t>
  </si>
  <si>
    <t>CUST2095</t>
  </si>
  <si>
    <t>15-08-2024</t>
  </si>
  <si>
    <t>CUST2096</t>
  </si>
  <si>
    <t>14-11-2024</t>
  </si>
  <si>
    <t>CUST2097</t>
  </si>
  <si>
    <t>21-10-2023</t>
  </si>
  <si>
    <t>CUST2098</t>
  </si>
  <si>
    <t>CUST2099</t>
  </si>
  <si>
    <t>21-03-2023</t>
  </si>
  <si>
    <t>CUST2100</t>
  </si>
  <si>
    <t>08-10-2023</t>
  </si>
  <si>
    <t>Churned by Country</t>
  </si>
  <si>
    <t>Count</t>
  </si>
  <si>
    <t>Churned Count</t>
  </si>
  <si>
    <t>Active Count</t>
  </si>
  <si>
    <t>Churn Rate</t>
  </si>
  <si>
    <t>Risk Level</t>
  </si>
  <si>
    <t>Risk Summary</t>
  </si>
  <si>
    <t>Subscription Churn Analysis — 100 Customers, 4 Countries</t>
  </si>
  <si>
    <t>Where are customers actually leaving, and does risk level predict it?</t>
  </si>
  <si>
    <t>Churn by Country</t>
  </si>
  <si>
    <t>Churn Rate(%)</t>
  </si>
  <si>
    <t>Risk Level Distribution</t>
  </si>
  <si>
    <t>% of Total</t>
  </si>
  <si>
    <t>High Risk</t>
  </si>
  <si>
    <t>Medium Risk</t>
  </si>
  <si>
    <t>Low Risk</t>
  </si>
  <si>
    <t>Churn by Plan Type</t>
  </si>
  <si>
    <t>7-12 months</t>
  </si>
  <si>
    <t>13-18 months</t>
  </si>
  <si>
    <t>19-24 months</t>
  </si>
  <si>
    <t>Tenure Bucket</t>
  </si>
  <si>
    <t>0-6 Months</t>
  </si>
  <si>
    <t>Churn by Tenure</t>
  </si>
  <si>
    <t>Three Questions I Asked This Data</t>
  </si>
  <si>
    <t>1. Which region loses the most customers?</t>
  </si>
  <si>
    <t>2. Does plan type predict who leaves?</t>
  </si>
  <si>
    <t>3. Does staying longer make someone less likely to churn?</t>
  </si>
  <si>
    <t>FORMULAS USED IN THIS ANALYSIS</t>
  </si>
  <si>
    <t>COUNTIFS</t>
  </si>
  <si>
    <t>SUMIFS</t>
  </si>
  <si>
    <t>AVERAGEIFS</t>
  </si>
  <si>
    <t>Nested IF (with AND / OR)</t>
  </si>
  <si>
    <t>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</si>
</sst>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0" tint="-0.34998626667073579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59E0B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4" fillId="0" borderId="0" xfId="0" applyFont="1"/>
    <xf numFmtId="168" fontId="0" fillId="0" borderId="0" xfId="1" applyNumberFormat="1" applyFont="1"/>
    <xf numFmtId="168" fontId="4" fillId="0" borderId="0" xfId="0" applyNumberFormat="1" applyFont="1"/>
    <xf numFmtId="168" fontId="0" fillId="0" borderId="0" xfId="0" applyNumberFormat="1"/>
    <xf numFmtId="0" fontId="7" fillId="0" borderId="0" xfId="0" applyFont="1" applyAlignment="1">
      <alignment horizontal="center"/>
    </xf>
    <xf numFmtId="0" fontId="8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5" fillId="0" borderId="3" xfId="0" applyFont="1" applyBorder="1" applyAlignment="1">
      <alignment horizontal="center"/>
    </xf>
    <xf numFmtId="0" fontId="0" fillId="0" borderId="9" xfId="0" applyBorder="1"/>
    <xf numFmtId="168" fontId="0" fillId="0" borderId="1" xfId="1" applyNumberFormat="1" applyFont="1" applyBorder="1"/>
    <xf numFmtId="168" fontId="0" fillId="0" borderId="10" xfId="1" applyNumberFormat="1" applyFont="1" applyBorder="1"/>
    <xf numFmtId="0" fontId="3" fillId="2" borderId="1" xfId="0" applyFont="1" applyFill="1" applyBorder="1"/>
    <xf numFmtId="0" fontId="3" fillId="2" borderId="0" xfId="0" applyFont="1" applyFill="1" applyBorder="1"/>
    <xf numFmtId="0" fontId="3" fillId="2" borderId="7" xfId="0" applyFont="1" applyFill="1" applyBorder="1"/>
    <xf numFmtId="0" fontId="0" fillId="3" borderId="1" xfId="0" applyFill="1" applyBorder="1"/>
    <xf numFmtId="0" fontId="0" fillId="3" borderId="6" xfId="0" applyFill="1" applyBorder="1"/>
    <xf numFmtId="168" fontId="0" fillId="3" borderId="1" xfId="1" applyNumberFormat="1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7" xfId="0" applyFill="1" applyBorder="1"/>
    <xf numFmtId="168" fontId="0" fillId="4" borderId="1" xfId="1" applyNumberFormat="1" applyFont="1" applyFill="1" applyBorder="1"/>
    <xf numFmtId="9" fontId="0" fillId="0" borderId="1" xfId="0" applyNumberFormat="1" applyBorder="1"/>
    <xf numFmtId="9" fontId="0" fillId="3" borderId="1" xfId="0" applyNumberFormat="1" applyFill="1" applyBorder="1"/>
    <xf numFmtId="10" fontId="0" fillId="0" borderId="1" xfId="0" applyNumberFormat="1" applyBorder="1"/>
    <xf numFmtId="0" fontId="8" fillId="0" borderId="8" xfId="0" applyFont="1" applyBorder="1" applyAlignment="1">
      <alignment horizontal="center"/>
    </xf>
    <xf numFmtId="0" fontId="0" fillId="5" borderId="1" xfId="0" applyFill="1" applyBorder="1"/>
    <xf numFmtId="168" fontId="0" fillId="5" borderId="1" xfId="1" applyNumberFormat="1" applyFont="1" applyFill="1" applyBorder="1"/>
    <xf numFmtId="0" fontId="6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1E3A5F"/>
      <color rgb="FFF59E0B"/>
      <color rgb="FF94A3B8"/>
      <color rgb="FFFEF3C7"/>
      <color rgb="FFDBEAFE"/>
      <color rgb="FF1F29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Risk Level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Insights!$C$12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F59E0B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9A6-436F-BF2E-863644E20351}"/>
              </c:ext>
            </c:extLst>
          </c:dPt>
          <c:dPt>
            <c:idx val="1"/>
            <c:bubble3D val="0"/>
            <c:spPr>
              <a:solidFill>
                <a:srgbClr val="94A3B8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9A6-436F-BF2E-863644E20351}"/>
              </c:ext>
            </c:extLst>
          </c:dPt>
          <c:dPt>
            <c:idx val="2"/>
            <c:bubble3D val="0"/>
            <c:spPr>
              <a:solidFill>
                <a:srgbClr val="1E3A5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9A6-436F-BF2E-863644E2035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Insights!$B$13:$B$15</c:f>
              <c:strCache>
                <c:ptCount val="3"/>
                <c:pt idx="0">
                  <c:v>High Risk</c:v>
                </c:pt>
                <c:pt idx="1">
                  <c:v>Medium Risk</c:v>
                </c:pt>
                <c:pt idx="2">
                  <c:v>Low Risk</c:v>
                </c:pt>
              </c:strCache>
            </c:strRef>
          </c:cat>
          <c:val>
            <c:numRef>
              <c:f>Insights!$C$13:$C$15</c:f>
              <c:numCache>
                <c:formatCode>General</c:formatCode>
                <c:ptCount val="3"/>
                <c:pt idx="0">
                  <c:v>17</c:v>
                </c:pt>
                <c:pt idx="1">
                  <c:v>29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6-436F-BF2E-863644E20351}"/>
            </c:ext>
          </c:extLst>
        </c:ser>
        <c:ser>
          <c:idx val="1"/>
          <c:order val="1"/>
          <c:tx>
            <c:strRef>
              <c:f>Insights!$D$12</c:f>
              <c:strCache>
                <c:ptCount val="1"/>
                <c:pt idx="0">
                  <c:v>% of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Insights!$B$13:$B$15</c:f>
              <c:strCache>
                <c:ptCount val="3"/>
                <c:pt idx="0">
                  <c:v>High Risk</c:v>
                </c:pt>
                <c:pt idx="1">
                  <c:v>Medium Risk</c:v>
                </c:pt>
                <c:pt idx="2">
                  <c:v>Low Risk</c:v>
                </c:pt>
              </c:strCache>
            </c:strRef>
          </c:cat>
          <c:val>
            <c:numRef>
              <c:f>Insights!$D$13:$D$15</c:f>
              <c:numCache>
                <c:formatCode>0%</c:formatCode>
                <c:ptCount val="3"/>
                <c:pt idx="0">
                  <c:v>0.17</c:v>
                </c:pt>
                <c:pt idx="1">
                  <c:v>0.28999999999999998</c:v>
                </c:pt>
                <c:pt idx="2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A6-436F-BF2E-863644E20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Climbs With Tenure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Insights!$J$5</c:f>
              <c:strCache>
                <c:ptCount val="1"/>
                <c:pt idx="0">
                  <c:v>Churn Rate(%)</c:v>
                </c:pt>
              </c:strCache>
            </c:strRef>
          </c:tx>
          <c:spPr>
            <a:ln w="28575" cap="rnd">
              <a:solidFill>
                <a:srgbClr val="1E3A5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9E0B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Insights!$G$6:$G$9</c:f>
              <c:strCache>
                <c:ptCount val="4"/>
                <c:pt idx="0">
                  <c:v>0-6 Months</c:v>
                </c:pt>
                <c:pt idx="1">
                  <c:v>7-12 months</c:v>
                </c:pt>
                <c:pt idx="2">
                  <c:v>13-18 months</c:v>
                </c:pt>
                <c:pt idx="3">
                  <c:v>19-24 months</c:v>
                </c:pt>
              </c:strCache>
            </c:strRef>
          </c:cat>
          <c:val>
            <c:numRef>
              <c:f>Insights!$J$6:$J$9</c:f>
              <c:numCache>
                <c:formatCode>0.0%</c:formatCode>
                <c:ptCount val="4"/>
                <c:pt idx="0">
                  <c:v>0.25</c:v>
                </c:pt>
                <c:pt idx="1">
                  <c:v>0.3</c:v>
                </c:pt>
                <c:pt idx="2">
                  <c:v>0.31034482758620691</c:v>
                </c:pt>
                <c:pt idx="3">
                  <c:v>0.47619047619047616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1-4076-B5E1-D6A6357CF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942464"/>
        <c:axId val="572945344"/>
      </c:lineChart>
      <c:catAx>
        <c:axId val="57294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45344"/>
        <c:crosses val="autoZero"/>
        <c:auto val="1"/>
        <c:lblAlgn val="ctr"/>
        <c:lblOffset val="100"/>
        <c:noMultiLvlLbl val="0"/>
      </c:catAx>
      <c:valAx>
        <c:axId val="57294534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4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592607174103234"/>
          <c:y val="0.15775481189851268"/>
          <c:w val="0.47314807524059493"/>
          <c:h val="0.78858012540099154"/>
        </c:manualLayout>
      </c:layout>
      <c:radarChart>
        <c:radarStyle val="marker"/>
        <c:varyColors val="0"/>
        <c:ser>
          <c:idx val="0"/>
          <c:order val="0"/>
          <c:tx>
            <c:strRef>
              <c:f>Insights!$E$5</c:f>
              <c:strCache>
                <c:ptCount val="1"/>
                <c:pt idx="0">
                  <c:v>Churn Rate(%)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Insights!$B$6:$B$9</c:f>
              <c:strCache>
                <c:ptCount val="4"/>
                <c:pt idx="0">
                  <c:v>India</c:v>
                </c:pt>
                <c:pt idx="1">
                  <c:v>USA</c:v>
                </c:pt>
                <c:pt idx="2">
                  <c:v>UK</c:v>
                </c:pt>
                <c:pt idx="3">
                  <c:v>Australia</c:v>
                </c:pt>
              </c:strCache>
            </c:strRef>
          </c:cat>
          <c:val>
            <c:numRef>
              <c:f>Insights!$E$6:$E$9</c:f>
              <c:numCache>
                <c:formatCode>0.0%</c:formatCode>
                <c:ptCount val="4"/>
                <c:pt idx="0">
                  <c:v>0.36363636363636365</c:v>
                </c:pt>
                <c:pt idx="1">
                  <c:v>0.33333333333333331</c:v>
                </c:pt>
                <c:pt idx="2">
                  <c:v>0.45833333333333331</c:v>
                </c:pt>
                <c:pt idx="3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6-4C0B-B3C0-24C6C29DA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650880"/>
        <c:axId val="585645840"/>
      </c:radarChart>
      <c:catAx>
        <c:axId val="58565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45840"/>
        <c:crosses val="autoZero"/>
        <c:auto val="1"/>
        <c:lblAlgn val="ctr"/>
        <c:lblOffset val="100"/>
        <c:noMultiLvlLbl val="0"/>
      </c:catAx>
      <c:valAx>
        <c:axId val="58564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1E3A5F"/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5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559593</xdr:colOff>
      <xdr:row>15</xdr:row>
      <xdr:rowOff>76992</xdr:rowOff>
    </xdr:from>
    <xdr:to>
      <xdr:col>11</xdr:col>
      <xdr:colOff>11906</xdr:colOff>
      <xdr:row>29</xdr:row>
      <xdr:rowOff>178594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8DCE01-65D5-C3DD-FA42-90C41D637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22490</xdr:colOff>
      <xdr:row>0</xdr:row>
      <xdr:rowOff>296333</xdr:rowOff>
    </xdr:from>
    <xdr:to>
      <xdr:col>19</xdr:col>
      <xdr:colOff>343958</xdr:colOff>
      <xdr:row>15</xdr:row>
      <xdr:rowOff>3705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B60BD2-C90D-3218-AD45-D78D90F94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611849</xdr:colOff>
      <xdr:row>16</xdr:row>
      <xdr:rowOff>4893</xdr:rowOff>
    </xdr:from>
    <xdr:to>
      <xdr:col>19</xdr:col>
      <xdr:colOff>319483</xdr:colOff>
      <xdr:row>30</xdr:row>
      <xdr:rowOff>179915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13E5976-EC5A-5FC0-09D1-B9353688B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opLeftCell="A81" zoomScaleNormal="100" workbookViewId="0">
      <selection sqref="A1:H101"/>
    </sheetView>
  </sheetViews>
  <sheetFormatPr defaultRowHeight="15" x14ac:dyDescent="0.25"/>
  <cols>
    <col min="1" max="1" width="12" customWidth="1"/>
    <col min="2" max="2" width="14" customWidth="1"/>
    <col min="3" max="5" width="12" customWidth="1"/>
    <col min="6" max="6" width="14" customWidth="1"/>
    <col min="7" max="7" width="16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599</v>
      </c>
      <c r="E2" t="s">
        <v>11</v>
      </c>
      <c r="F2" t="s">
        <v>12</v>
      </c>
      <c r="G2">
        <v>8</v>
      </c>
      <c r="H2" t="s">
        <v>13</v>
      </c>
    </row>
    <row r="3" spans="1:8" x14ac:dyDescent="0.25">
      <c r="A3" t="s">
        <v>14</v>
      </c>
      <c r="B3" t="s">
        <v>15</v>
      </c>
      <c r="C3" t="s">
        <v>10</v>
      </c>
      <c r="D3">
        <v>599</v>
      </c>
      <c r="E3" t="s">
        <v>16</v>
      </c>
      <c r="F3" t="s">
        <v>17</v>
      </c>
      <c r="G3">
        <v>22</v>
      </c>
      <c r="H3" t="s">
        <v>18</v>
      </c>
    </row>
    <row r="4" spans="1:8" x14ac:dyDescent="0.25">
      <c r="A4" t="s">
        <v>19</v>
      </c>
      <c r="B4" t="s">
        <v>20</v>
      </c>
      <c r="C4" t="s">
        <v>21</v>
      </c>
      <c r="D4">
        <v>999</v>
      </c>
      <c r="E4" t="s">
        <v>16</v>
      </c>
      <c r="F4" t="s">
        <v>22</v>
      </c>
      <c r="G4">
        <v>14</v>
      </c>
      <c r="H4" t="s">
        <v>18</v>
      </c>
    </row>
    <row r="5" spans="1:8" x14ac:dyDescent="0.25">
      <c r="A5" t="s">
        <v>23</v>
      </c>
      <c r="B5" t="s">
        <v>24</v>
      </c>
      <c r="C5" t="s">
        <v>25</v>
      </c>
      <c r="D5">
        <v>299</v>
      </c>
      <c r="E5" t="s">
        <v>26</v>
      </c>
      <c r="F5" t="s">
        <v>27</v>
      </c>
      <c r="G5">
        <v>22</v>
      </c>
      <c r="H5" t="s">
        <v>13</v>
      </c>
    </row>
    <row r="6" spans="1:8" x14ac:dyDescent="0.25">
      <c r="A6" t="s">
        <v>28</v>
      </c>
      <c r="B6" t="s">
        <v>29</v>
      </c>
      <c r="C6" t="s">
        <v>21</v>
      </c>
      <c r="D6">
        <v>999</v>
      </c>
      <c r="E6" t="s">
        <v>11</v>
      </c>
      <c r="F6" t="s">
        <v>30</v>
      </c>
      <c r="G6">
        <v>3</v>
      </c>
      <c r="H6" t="s">
        <v>18</v>
      </c>
    </row>
    <row r="7" spans="1:8" x14ac:dyDescent="0.25">
      <c r="A7" t="s">
        <v>31</v>
      </c>
      <c r="B7" t="s">
        <v>32</v>
      </c>
      <c r="C7" t="s">
        <v>21</v>
      </c>
      <c r="D7">
        <v>999</v>
      </c>
      <c r="E7" t="s">
        <v>33</v>
      </c>
      <c r="F7" t="s">
        <v>12</v>
      </c>
      <c r="G7">
        <v>11</v>
      </c>
      <c r="H7" t="s">
        <v>18</v>
      </c>
    </row>
    <row r="8" spans="1:8" x14ac:dyDescent="0.25">
      <c r="A8" t="s">
        <v>34</v>
      </c>
      <c r="B8" t="s">
        <v>35</v>
      </c>
      <c r="C8" t="s">
        <v>21</v>
      </c>
      <c r="D8">
        <v>999</v>
      </c>
      <c r="E8" t="s">
        <v>33</v>
      </c>
      <c r="F8" t="s">
        <v>12</v>
      </c>
      <c r="G8">
        <v>7</v>
      </c>
      <c r="H8" t="s">
        <v>18</v>
      </c>
    </row>
    <row r="9" spans="1:8" x14ac:dyDescent="0.25">
      <c r="A9" t="s">
        <v>36</v>
      </c>
      <c r="B9" t="s">
        <v>37</v>
      </c>
      <c r="C9" t="s">
        <v>25</v>
      </c>
      <c r="D9">
        <v>299</v>
      </c>
      <c r="E9" t="s">
        <v>16</v>
      </c>
      <c r="F9" t="s">
        <v>17</v>
      </c>
      <c r="G9">
        <v>7</v>
      </c>
      <c r="H9" t="s">
        <v>18</v>
      </c>
    </row>
    <row r="10" spans="1:8" x14ac:dyDescent="0.25">
      <c r="A10" t="s">
        <v>38</v>
      </c>
      <c r="B10" t="s">
        <v>39</v>
      </c>
      <c r="C10" t="s">
        <v>10</v>
      </c>
      <c r="D10">
        <v>599</v>
      </c>
      <c r="E10" t="s">
        <v>11</v>
      </c>
      <c r="F10" t="s">
        <v>12</v>
      </c>
      <c r="G10">
        <v>23</v>
      </c>
      <c r="H10" t="s">
        <v>13</v>
      </c>
    </row>
    <row r="11" spans="1:8" x14ac:dyDescent="0.25">
      <c r="A11" t="s">
        <v>40</v>
      </c>
      <c r="B11" t="s">
        <v>41</v>
      </c>
      <c r="C11" t="s">
        <v>21</v>
      </c>
      <c r="D11">
        <v>999</v>
      </c>
      <c r="E11" t="s">
        <v>11</v>
      </c>
      <c r="F11" t="s">
        <v>12</v>
      </c>
      <c r="G11">
        <v>2</v>
      </c>
      <c r="H11" t="s">
        <v>13</v>
      </c>
    </row>
    <row r="12" spans="1:8" x14ac:dyDescent="0.25">
      <c r="A12" t="s">
        <v>42</v>
      </c>
      <c r="B12" t="s">
        <v>43</v>
      </c>
      <c r="C12" t="s">
        <v>10</v>
      </c>
      <c r="D12">
        <v>599</v>
      </c>
      <c r="E12" t="s">
        <v>16</v>
      </c>
      <c r="F12" t="s">
        <v>22</v>
      </c>
      <c r="G12">
        <v>14</v>
      </c>
      <c r="H12" t="s">
        <v>18</v>
      </c>
    </row>
    <row r="13" spans="1:8" x14ac:dyDescent="0.25">
      <c r="A13" t="s">
        <v>44</v>
      </c>
      <c r="B13" t="s">
        <v>45</v>
      </c>
      <c r="C13" t="s">
        <v>10</v>
      </c>
      <c r="D13">
        <v>599</v>
      </c>
      <c r="E13" t="s">
        <v>33</v>
      </c>
      <c r="F13" t="s">
        <v>12</v>
      </c>
      <c r="G13">
        <v>11</v>
      </c>
      <c r="H13" t="s">
        <v>13</v>
      </c>
    </row>
    <row r="14" spans="1:8" x14ac:dyDescent="0.25">
      <c r="A14" t="s">
        <v>46</v>
      </c>
      <c r="B14" t="s">
        <v>47</v>
      </c>
      <c r="C14" t="s">
        <v>25</v>
      </c>
      <c r="D14">
        <v>299</v>
      </c>
      <c r="E14" t="s">
        <v>33</v>
      </c>
      <c r="F14" t="s">
        <v>48</v>
      </c>
      <c r="G14">
        <v>15</v>
      </c>
      <c r="H14" t="s">
        <v>13</v>
      </c>
    </row>
    <row r="15" spans="1:8" x14ac:dyDescent="0.25">
      <c r="A15" t="s">
        <v>49</v>
      </c>
      <c r="B15" t="s">
        <v>9</v>
      </c>
      <c r="C15" t="s">
        <v>25</v>
      </c>
      <c r="D15">
        <v>299</v>
      </c>
      <c r="E15" t="s">
        <v>26</v>
      </c>
      <c r="F15" t="s">
        <v>50</v>
      </c>
      <c r="G15">
        <v>16</v>
      </c>
      <c r="H15" t="s">
        <v>18</v>
      </c>
    </row>
    <row r="16" spans="1:8" x14ac:dyDescent="0.25">
      <c r="A16" t="s">
        <v>51</v>
      </c>
      <c r="B16" t="s">
        <v>52</v>
      </c>
      <c r="C16" t="s">
        <v>21</v>
      </c>
      <c r="D16">
        <v>999</v>
      </c>
      <c r="E16" t="s">
        <v>11</v>
      </c>
      <c r="F16" t="s">
        <v>48</v>
      </c>
      <c r="G16">
        <v>4</v>
      </c>
      <c r="H16" t="s">
        <v>13</v>
      </c>
    </row>
    <row r="17" spans="1:8" x14ac:dyDescent="0.25">
      <c r="A17" t="s">
        <v>53</v>
      </c>
      <c r="B17" t="s">
        <v>54</v>
      </c>
      <c r="C17" t="s">
        <v>10</v>
      </c>
      <c r="D17">
        <v>599</v>
      </c>
      <c r="E17" t="s">
        <v>11</v>
      </c>
      <c r="F17" t="s">
        <v>12</v>
      </c>
      <c r="G17">
        <v>14</v>
      </c>
      <c r="H17" t="s">
        <v>13</v>
      </c>
    </row>
    <row r="18" spans="1:8" x14ac:dyDescent="0.25">
      <c r="A18" t="s">
        <v>55</v>
      </c>
      <c r="B18" t="s">
        <v>56</v>
      </c>
      <c r="C18" t="s">
        <v>21</v>
      </c>
      <c r="D18">
        <v>999</v>
      </c>
      <c r="E18" t="s">
        <v>26</v>
      </c>
      <c r="F18" t="s">
        <v>27</v>
      </c>
      <c r="G18">
        <v>8</v>
      </c>
      <c r="H18" t="s">
        <v>18</v>
      </c>
    </row>
    <row r="19" spans="1:8" x14ac:dyDescent="0.25">
      <c r="A19" t="s">
        <v>57</v>
      </c>
      <c r="B19" t="s">
        <v>58</v>
      </c>
      <c r="C19" t="s">
        <v>10</v>
      </c>
      <c r="D19">
        <v>599</v>
      </c>
      <c r="E19" t="s">
        <v>11</v>
      </c>
      <c r="F19" t="s">
        <v>59</v>
      </c>
      <c r="G19">
        <v>17</v>
      </c>
      <c r="H19" t="s">
        <v>18</v>
      </c>
    </row>
    <row r="20" spans="1:8" x14ac:dyDescent="0.25">
      <c r="A20" t="s">
        <v>60</v>
      </c>
      <c r="B20" t="s">
        <v>61</v>
      </c>
      <c r="C20" t="s">
        <v>25</v>
      </c>
      <c r="D20">
        <v>299</v>
      </c>
      <c r="E20" t="s">
        <v>26</v>
      </c>
      <c r="F20" t="s">
        <v>62</v>
      </c>
      <c r="G20">
        <v>13</v>
      </c>
      <c r="H20" t="s">
        <v>13</v>
      </c>
    </row>
    <row r="21" spans="1:8" x14ac:dyDescent="0.25">
      <c r="A21" t="s">
        <v>63</v>
      </c>
      <c r="B21" t="s">
        <v>64</v>
      </c>
      <c r="C21" t="s">
        <v>10</v>
      </c>
      <c r="D21">
        <v>599</v>
      </c>
      <c r="E21" t="s">
        <v>16</v>
      </c>
      <c r="F21" t="s">
        <v>65</v>
      </c>
      <c r="G21">
        <v>18</v>
      </c>
      <c r="H21" t="s">
        <v>13</v>
      </c>
    </row>
    <row r="22" spans="1:8" x14ac:dyDescent="0.25">
      <c r="A22" t="s">
        <v>66</v>
      </c>
      <c r="B22" t="s">
        <v>67</v>
      </c>
      <c r="C22" t="s">
        <v>10</v>
      </c>
      <c r="D22">
        <v>599</v>
      </c>
      <c r="E22" t="s">
        <v>16</v>
      </c>
      <c r="F22" t="s">
        <v>65</v>
      </c>
      <c r="G22">
        <v>8</v>
      </c>
      <c r="H22" t="s">
        <v>18</v>
      </c>
    </row>
    <row r="23" spans="1:8" x14ac:dyDescent="0.25">
      <c r="A23" t="s">
        <v>68</v>
      </c>
      <c r="B23" t="s">
        <v>69</v>
      </c>
      <c r="C23" t="s">
        <v>25</v>
      </c>
      <c r="D23">
        <v>299</v>
      </c>
      <c r="E23" t="s">
        <v>26</v>
      </c>
      <c r="F23" t="s">
        <v>62</v>
      </c>
      <c r="G23">
        <v>23</v>
      </c>
      <c r="H23" t="s">
        <v>18</v>
      </c>
    </row>
    <row r="24" spans="1:8" x14ac:dyDescent="0.25">
      <c r="A24" t="s">
        <v>70</v>
      </c>
      <c r="B24" t="s">
        <v>71</v>
      </c>
      <c r="C24" t="s">
        <v>21</v>
      </c>
      <c r="D24">
        <v>999</v>
      </c>
      <c r="E24" t="s">
        <v>11</v>
      </c>
      <c r="F24" t="s">
        <v>48</v>
      </c>
      <c r="G24">
        <v>10</v>
      </c>
      <c r="H24" t="s">
        <v>18</v>
      </c>
    </row>
    <row r="25" spans="1:8" x14ac:dyDescent="0.25">
      <c r="A25" t="s">
        <v>72</v>
      </c>
      <c r="B25" t="s">
        <v>73</v>
      </c>
      <c r="C25" t="s">
        <v>10</v>
      </c>
      <c r="D25">
        <v>599</v>
      </c>
      <c r="E25" t="s">
        <v>16</v>
      </c>
      <c r="F25" t="s">
        <v>65</v>
      </c>
      <c r="G25">
        <v>3</v>
      </c>
      <c r="H25" t="s">
        <v>18</v>
      </c>
    </row>
    <row r="26" spans="1:8" x14ac:dyDescent="0.25">
      <c r="A26" t="s">
        <v>74</v>
      </c>
      <c r="B26" t="s">
        <v>75</v>
      </c>
      <c r="C26" t="s">
        <v>10</v>
      </c>
      <c r="D26">
        <v>599</v>
      </c>
      <c r="E26" t="s">
        <v>11</v>
      </c>
      <c r="F26" t="s">
        <v>30</v>
      </c>
      <c r="G26">
        <v>14</v>
      </c>
      <c r="H26" t="s">
        <v>18</v>
      </c>
    </row>
    <row r="27" spans="1:8" x14ac:dyDescent="0.25">
      <c r="A27" t="s">
        <v>76</v>
      </c>
      <c r="B27" t="s">
        <v>77</v>
      </c>
      <c r="C27" t="s">
        <v>21</v>
      </c>
      <c r="D27">
        <v>999</v>
      </c>
      <c r="E27" t="s">
        <v>11</v>
      </c>
      <c r="F27" t="s">
        <v>30</v>
      </c>
      <c r="G27">
        <v>13</v>
      </c>
      <c r="H27" t="s">
        <v>18</v>
      </c>
    </row>
    <row r="28" spans="1:8" x14ac:dyDescent="0.25">
      <c r="A28" t="s">
        <v>78</v>
      </c>
      <c r="B28" t="s">
        <v>79</v>
      </c>
      <c r="C28" t="s">
        <v>21</v>
      </c>
      <c r="D28">
        <v>999</v>
      </c>
      <c r="E28" t="s">
        <v>16</v>
      </c>
      <c r="F28" t="s">
        <v>22</v>
      </c>
      <c r="G28">
        <v>13</v>
      </c>
      <c r="H28" t="s">
        <v>18</v>
      </c>
    </row>
    <row r="29" spans="1:8" x14ac:dyDescent="0.25">
      <c r="A29" t="s">
        <v>80</v>
      </c>
      <c r="B29" t="s">
        <v>81</v>
      </c>
      <c r="C29" t="s">
        <v>10</v>
      </c>
      <c r="D29">
        <v>599</v>
      </c>
      <c r="E29" t="s">
        <v>33</v>
      </c>
      <c r="F29" t="s">
        <v>59</v>
      </c>
      <c r="G29">
        <v>23</v>
      </c>
      <c r="H29" t="s">
        <v>18</v>
      </c>
    </row>
    <row r="30" spans="1:8" x14ac:dyDescent="0.25">
      <c r="A30" t="s">
        <v>82</v>
      </c>
      <c r="B30" t="s">
        <v>83</v>
      </c>
      <c r="C30" t="s">
        <v>21</v>
      </c>
      <c r="D30">
        <v>999</v>
      </c>
      <c r="E30" t="s">
        <v>11</v>
      </c>
      <c r="F30" t="s">
        <v>30</v>
      </c>
      <c r="G30">
        <v>22</v>
      </c>
      <c r="H30" t="s">
        <v>18</v>
      </c>
    </row>
    <row r="31" spans="1:8" x14ac:dyDescent="0.25">
      <c r="A31" t="s">
        <v>84</v>
      </c>
      <c r="B31" t="s">
        <v>85</v>
      </c>
      <c r="C31" t="s">
        <v>10</v>
      </c>
      <c r="D31">
        <v>599</v>
      </c>
      <c r="E31" t="s">
        <v>26</v>
      </c>
      <c r="F31" t="s">
        <v>50</v>
      </c>
      <c r="G31">
        <v>13</v>
      </c>
      <c r="H31" t="s">
        <v>13</v>
      </c>
    </row>
    <row r="32" spans="1:8" x14ac:dyDescent="0.25">
      <c r="A32" t="s">
        <v>86</v>
      </c>
      <c r="B32" t="s">
        <v>87</v>
      </c>
      <c r="C32" t="s">
        <v>21</v>
      </c>
      <c r="D32">
        <v>999</v>
      </c>
      <c r="E32" t="s">
        <v>11</v>
      </c>
      <c r="F32" t="s">
        <v>59</v>
      </c>
      <c r="G32">
        <v>17</v>
      </c>
      <c r="H32" t="s">
        <v>18</v>
      </c>
    </row>
    <row r="33" spans="1:8" x14ac:dyDescent="0.25">
      <c r="A33" t="s">
        <v>88</v>
      </c>
      <c r="B33" t="s">
        <v>89</v>
      </c>
      <c r="C33" t="s">
        <v>21</v>
      </c>
      <c r="D33">
        <v>999</v>
      </c>
      <c r="E33" t="s">
        <v>11</v>
      </c>
      <c r="F33" t="s">
        <v>48</v>
      </c>
      <c r="G33">
        <v>7</v>
      </c>
      <c r="H33" t="s">
        <v>18</v>
      </c>
    </row>
    <row r="34" spans="1:8" x14ac:dyDescent="0.25">
      <c r="A34" t="s">
        <v>90</v>
      </c>
      <c r="B34" t="s">
        <v>91</v>
      </c>
      <c r="C34" t="s">
        <v>10</v>
      </c>
      <c r="D34">
        <v>599</v>
      </c>
      <c r="E34" t="s">
        <v>26</v>
      </c>
      <c r="F34" t="s">
        <v>62</v>
      </c>
      <c r="G34">
        <v>24</v>
      </c>
      <c r="H34" t="s">
        <v>13</v>
      </c>
    </row>
    <row r="35" spans="1:8" x14ac:dyDescent="0.25">
      <c r="A35" t="s">
        <v>92</v>
      </c>
      <c r="B35" t="s">
        <v>93</v>
      </c>
      <c r="C35" t="s">
        <v>10</v>
      </c>
      <c r="D35">
        <v>599</v>
      </c>
      <c r="E35" t="s">
        <v>33</v>
      </c>
      <c r="F35" t="s">
        <v>94</v>
      </c>
      <c r="G35">
        <v>2</v>
      </c>
      <c r="H35" t="s">
        <v>18</v>
      </c>
    </row>
    <row r="36" spans="1:8" x14ac:dyDescent="0.25">
      <c r="A36" t="s">
        <v>95</v>
      </c>
      <c r="B36" t="s">
        <v>96</v>
      </c>
      <c r="C36" t="s">
        <v>21</v>
      </c>
      <c r="D36">
        <v>999</v>
      </c>
      <c r="E36" t="s">
        <v>26</v>
      </c>
      <c r="F36" t="s">
        <v>62</v>
      </c>
      <c r="G36">
        <v>4</v>
      </c>
      <c r="H36" t="s">
        <v>18</v>
      </c>
    </row>
    <row r="37" spans="1:8" x14ac:dyDescent="0.25">
      <c r="A37" t="s">
        <v>97</v>
      </c>
      <c r="B37" t="s">
        <v>98</v>
      </c>
      <c r="C37" t="s">
        <v>10</v>
      </c>
      <c r="D37">
        <v>599</v>
      </c>
      <c r="E37" t="s">
        <v>11</v>
      </c>
      <c r="F37" t="s">
        <v>30</v>
      </c>
      <c r="G37">
        <v>15</v>
      </c>
      <c r="H37" t="s">
        <v>18</v>
      </c>
    </row>
    <row r="38" spans="1:8" x14ac:dyDescent="0.25">
      <c r="A38" t="s">
        <v>99</v>
      </c>
      <c r="B38" t="s">
        <v>100</v>
      </c>
      <c r="C38" t="s">
        <v>10</v>
      </c>
      <c r="D38">
        <v>599</v>
      </c>
      <c r="E38" t="s">
        <v>16</v>
      </c>
      <c r="F38" t="s">
        <v>65</v>
      </c>
      <c r="G38">
        <v>18</v>
      </c>
      <c r="H38" t="s">
        <v>18</v>
      </c>
    </row>
    <row r="39" spans="1:8" x14ac:dyDescent="0.25">
      <c r="A39" t="s">
        <v>101</v>
      </c>
      <c r="B39" t="s">
        <v>102</v>
      </c>
      <c r="C39" t="s">
        <v>10</v>
      </c>
      <c r="D39">
        <v>599</v>
      </c>
      <c r="E39" t="s">
        <v>26</v>
      </c>
      <c r="F39" t="s">
        <v>62</v>
      </c>
      <c r="G39">
        <v>9</v>
      </c>
      <c r="H39" t="s">
        <v>18</v>
      </c>
    </row>
    <row r="40" spans="1:8" x14ac:dyDescent="0.25">
      <c r="A40" t="s">
        <v>103</v>
      </c>
      <c r="B40" t="s">
        <v>104</v>
      </c>
      <c r="C40" t="s">
        <v>25</v>
      </c>
      <c r="D40">
        <v>299</v>
      </c>
      <c r="E40" t="s">
        <v>16</v>
      </c>
      <c r="F40" t="s">
        <v>17</v>
      </c>
      <c r="G40">
        <v>21</v>
      </c>
      <c r="H40" t="s">
        <v>18</v>
      </c>
    </row>
    <row r="41" spans="1:8" x14ac:dyDescent="0.25">
      <c r="A41" t="s">
        <v>105</v>
      </c>
      <c r="B41" t="s">
        <v>106</v>
      </c>
      <c r="C41" t="s">
        <v>21</v>
      </c>
      <c r="D41">
        <v>999</v>
      </c>
      <c r="E41" t="s">
        <v>11</v>
      </c>
      <c r="F41" t="s">
        <v>59</v>
      </c>
      <c r="G41">
        <v>18</v>
      </c>
      <c r="H41" t="s">
        <v>18</v>
      </c>
    </row>
    <row r="42" spans="1:8" x14ac:dyDescent="0.25">
      <c r="A42" t="s">
        <v>107</v>
      </c>
      <c r="B42" t="s">
        <v>108</v>
      </c>
      <c r="C42" t="s">
        <v>21</v>
      </c>
      <c r="D42">
        <v>999</v>
      </c>
      <c r="E42" t="s">
        <v>33</v>
      </c>
      <c r="F42" t="s">
        <v>94</v>
      </c>
      <c r="G42">
        <v>11</v>
      </c>
      <c r="H42" t="s">
        <v>18</v>
      </c>
    </row>
    <row r="43" spans="1:8" x14ac:dyDescent="0.25">
      <c r="A43" t="s">
        <v>109</v>
      </c>
      <c r="B43" t="s">
        <v>110</v>
      </c>
      <c r="C43" t="s">
        <v>10</v>
      </c>
      <c r="D43">
        <v>599</v>
      </c>
      <c r="E43" t="s">
        <v>33</v>
      </c>
      <c r="F43" t="s">
        <v>59</v>
      </c>
      <c r="G43">
        <v>21</v>
      </c>
      <c r="H43" t="s">
        <v>13</v>
      </c>
    </row>
    <row r="44" spans="1:8" x14ac:dyDescent="0.25">
      <c r="A44" t="s">
        <v>111</v>
      </c>
      <c r="B44" t="s">
        <v>112</v>
      </c>
      <c r="C44" t="s">
        <v>10</v>
      </c>
      <c r="D44">
        <v>599</v>
      </c>
      <c r="E44" t="s">
        <v>26</v>
      </c>
      <c r="F44" t="s">
        <v>62</v>
      </c>
      <c r="G44">
        <v>5</v>
      </c>
      <c r="H44" t="s">
        <v>18</v>
      </c>
    </row>
    <row r="45" spans="1:8" x14ac:dyDescent="0.25">
      <c r="A45" t="s">
        <v>113</v>
      </c>
      <c r="B45" t="s">
        <v>114</v>
      </c>
      <c r="C45" t="s">
        <v>10</v>
      </c>
      <c r="D45">
        <v>599</v>
      </c>
      <c r="E45" t="s">
        <v>33</v>
      </c>
      <c r="F45" t="s">
        <v>94</v>
      </c>
      <c r="G45">
        <v>11</v>
      </c>
      <c r="H45" t="s">
        <v>18</v>
      </c>
    </row>
    <row r="46" spans="1:8" x14ac:dyDescent="0.25">
      <c r="A46" t="s">
        <v>115</v>
      </c>
      <c r="B46" t="s">
        <v>116</v>
      </c>
      <c r="C46" t="s">
        <v>10</v>
      </c>
      <c r="D46">
        <v>599</v>
      </c>
      <c r="E46" t="s">
        <v>11</v>
      </c>
      <c r="F46" t="s">
        <v>48</v>
      </c>
      <c r="G46">
        <v>2</v>
      </c>
      <c r="H46" t="s">
        <v>18</v>
      </c>
    </row>
    <row r="47" spans="1:8" x14ac:dyDescent="0.25">
      <c r="A47" t="s">
        <v>117</v>
      </c>
      <c r="B47" t="s">
        <v>118</v>
      </c>
      <c r="C47" t="s">
        <v>25</v>
      </c>
      <c r="D47">
        <v>299</v>
      </c>
      <c r="E47" t="s">
        <v>11</v>
      </c>
      <c r="F47" t="s">
        <v>59</v>
      </c>
      <c r="G47">
        <v>16</v>
      </c>
      <c r="H47" t="s">
        <v>13</v>
      </c>
    </row>
    <row r="48" spans="1:8" x14ac:dyDescent="0.25">
      <c r="A48" t="s">
        <v>119</v>
      </c>
      <c r="B48" t="s">
        <v>120</v>
      </c>
      <c r="C48" t="s">
        <v>21</v>
      </c>
      <c r="D48">
        <v>999</v>
      </c>
      <c r="E48" t="s">
        <v>26</v>
      </c>
      <c r="F48" t="s">
        <v>62</v>
      </c>
      <c r="G48">
        <v>18</v>
      </c>
      <c r="H48" t="s">
        <v>18</v>
      </c>
    </row>
    <row r="49" spans="1:8" x14ac:dyDescent="0.25">
      <c r="A49" t="s">
        <v>121</v>
      </c>
      <c r="B49" t="s">
        <v>122</v>
      </c>
      <c r="C49" t="s">
        <v>25</v>
      </c>
      <c r="D49">
        <v>299</v>
      </c>
      <c r="E49" t="s">
        <v>26</v>
      </c>
      <c r="F49" t="s">
        <v>50</v>
      </c>
      <c r="G49">
        <v>18</v>
      </c>
      <c r="H49" t="s">
        <v>13</v>
      </c>
    </row>
    <row r="50" spans="1:8" x14ac:dyDescent="0.25">
      <c r="A50" t="s">
        <v>123</v>
      </c>
      <c r="B50" t="s">
        <v>124</v>
      </c>
      <c r="C50" t="s">
        <v>25</v>
      </c>
      <c r="D50">
        <v>299</v>
      </c>
      <c r="E50" t="s">
        <v>11</v>
      </c>
      <c r="F50" t="s">
        <v>12</v>
      </c>
      <c r="G50">
        <v>5</v>
      </c>
      <c r="H50" t="s">
        <v>18</v>
      </c>
    </row>
    <row r="51" spans="1:8" x14ac:dyDescent="0.25">
      <c r="A51" t="s">
        <v>125</v>
      </c>
      <c r="B51" t="s">
        <v>126</v>
      </c>
      <c r="C51" t="s">
        <v>21</v>
      </c>
      <c r="D51">
        <v>999</v>
      </c>
      <c r="E51" t="s">
        <v>16</v>
      </c>
      <c r="F51" t="s">
        <v>22</v>
      </c>
      <c r="G51">
        <v>12</v>
      </c>
      <c r="H51" t="s">
        <v>18</v>
      </c>
    </row>
    <row r="52" spans="1:8" x14ac:dyDescent="0.25">
      <c r="A52" t="s">
        <v>127</v>
      </c>
      <c r="B52" t="s">
        <v>128</v>
      </c>
      <c r="C52" t="s">
        <v>21</v>
      </c>
      <c r="D52">
        <v>999</v>
      </c>
      <c r="E52" t="s">
        <v>11</v>
      </c>
      <c r="F52" t="s">
        <v>30</v>
      </c>
      <c r="G52">
        <v>2</v>
      </c>
      <c r="H52" t="s">
        <v>18</v>
      </c>
    </row>
    <row r="53" spans="1:8" x14ac:dyDescent="0.25">
      <c r="A53" t="s">
        <v>129</v>
      </c>
      <c r="B53" t="s">
        <v>130</v>
      </c>
      <c r="C53" t="s">
        <v>10</v>
      </c>
      <c r="D53">
        <v>599</v>
      </c>
      <c r="E53" t="s">
        <v>11</v>
      </c>
      <c r="F53" t="s">
        <v>30</v>
      </c>
      <c r="G53">
        <v>6</v>
      </c>
      <c r="H53" t="s">
        <v>18</v>
      </c>
    </row>
    <row r="54" spans="1:8" x14ac:dyDescent="0.25">
      <c r="A54" t="s">
        <v>131</v>
      </c>
      <c r="B54" t="s">
        <v>132</v>
      </c>
      <c r="C54" t="s">
        <v>10</v>
      </c>
      <c r="D54">
        <v>599</v>
      </c>
      <c r="E54" t="s">
        <v>33</v>
      </c>
      <c r="F54" t="s">
        <v>48</v>
      </c>
      <c r="G54">
        <v>13</v>
      </c>
      <c r="H54" t="s">
        <v>18</v>
      </c>
    </row>
    <row r="55" spans="1:8" x14ac:dyDescent="0.25">
      <c r="A55" t="s">
        <v>133</v>
      </c>
      <c r="B55" t="s">
        <v>134</v>
      </c>
      <c r="C55" t="s">
        <v>25</v>
      </c>
      <c r="D55">
        <v>299</v>
      </c>
      <c r="E55" t="s">
        <v>16</v>
      </c>
      <c r="F55" t="s">
        <v>17</v>
      </c>
      <c r="G55">
        <v>20</v>
      </c>
      <c r="H55" t="s">
        <v>18</v>
      </c>
    </row>
    <row r="56" spans="1:8" x14ac:dyDescent="0.25">
      <c r="A56" t="s">
        <v>135</v>
      </c>
      <c r="B56" t="s">
        <v>73</v>
      </c>
      <c r="C56" t="s">
        <v>25</v>
      </c>
      <c r="D56">
        <v>299</v>
      </c>
      <c r="E56" t="s">
        <v>11</v>
      </c>
      <c r="F56" t="s">
        <v>48</v>
      </c>
      <c r="G56">
        <v>12</v>
      </c>
      <c r="H56" t="s">
        <v>13</v>
      </c>
    </row>
    <row r="57" spans="1:8" x14ac:dyDescent="0.25">
      <c r="A57" t="s">
        <v>136</v>
      </c>
      <c r="B57" t="s">
        <v>137</v>
      </c>
      <c r="C57" t="s">
        <v>25</v>
      </c>
      <c r="D57">
        <v>299</v>
      </c>
      <c r="E57" t="s">
        <v>16</v>
      </c>
      <c r="F57" t="s">
        <v>22</v>
      </c>
      <c r="G57">
        <v>10</v>
      </c>
      <c r="H57" t="s">
        <v>18</v>
      </c>
    </row>
    <row r="58" spans="1:8" x14ac:dyDescent="0.25">
      <c r="A58" t="s">
        <v>138</v>
      </c>
      <c r="B58" t="s">
        <v>139</v>
      </c>
      <c r="C58" t="s">
        <v>25</v>
      </c>
      <c r="D58">
        <v>299</v>
      </c>
      <c r="E58" t="s">
        <v>26</v>
      </c>
      <c r="F58" t="s">
        <v>50</v>
      </c>
      <c r="G58">
        <v>10</v>
      </c>
      <c r="H58" t="s">
        <v>13</v>
      </c>
    </row>
    <row r="59" spans="1:8" x14ac:dyDescent="0.25">
      <c r="A59" t="s">
        <v>140</v>
      </c>
      <c r="B59" t="s">
        <v>141</v>
      </c>
      <c r="C59" t="s">
        <v>10</v>
      </c>
      <c r="D59">
        <v>599</v>
      </c>
      <c r="E59" t="s">
        <v>33</v>
      </c>
      <c r="F59" t="s">
        <v>94</v>
      </c>
      <c r="G59">
        <v>12</v>
      </c>
      <c r="H59" t="s">
        <v>13</v>
      </c>
    </row>
    <row r="60" spans="1:8" x14ac:dyDescent="0.25">
      <c r="A60" t="s">
        <v>142</v>
      </c>
      <c r="B60" t="s">
        <v>143</v>
      </c>
      <c r="C60" t="s">
        <v>10</v>
      </c>
      <c r="D60">
        <v>599</v>
      </c>
      <c r="E60" t="s">
        <v>26</v>
      </c>
      <c r="F60" t="s">
        <v>50</v>
      </c>
      <c r="G60">
        <v>11</v>
      </c>
      <c r="H60" t="s">
        <v>18</v>
      </c>
    </row>
    <row r="61" spans="1:8" x14ac:dyDescent="0.25">
      <c r="A61" t="s">
        <v>144</v>
      </c>
      <c r="B61" t="s">
        <v>145</v>
      </c>
      <c r="C61" t="s">
        <v>10</v>
      </c>
      <c r="D61">
        <v>599</v>
      </c>
      <c r="E61" t="s">
        <v>26</v>
      </c>
      <c r="F61" t="s">
        <v>50</v>
      </c>
      <c r="G61">
        <v>8</v>
      </c>
      <c r="H61" t="s">
        <v>18</v>
      </c>
    </row>
    <row r="62" spans="1:8" x14ac:dyDescent="0.25">
      <c r="A62" t="s">
        <v>146</v>
      </c>
      <c r="B62" t="s">
        <v>147</v>
      </c>
      <c r="C62" t="s">
        <v>25</v>
      </c>
      <c r="D62">
        <v>299</v>
      </c>
      <c r="E62" t="s">
        <v>26</v>
      </c>
      <c r="F62" t="s">
        <v>50</v>
      </c>
      <c r="G62">
        <v>13</v>
      </c>
      <c r="H62" t="s">
        <v>13</v>
      </c>
    </row>
    <row r="63" spans="1:8" x14ac:dyDescent="0.25">
      <c r="A63" t="s">
        <v>148</v>
      </c>
      <c r="B63" t="s">
        <v>149</v>
      </c>
      <c r="C63" t="s">
        <v>25</v>
      </c>
      <c r="D63">
        <v>299</v>
      </c>
      <c r="E63" t="s">
        <v>16</v>
      </c>
      <c r="F63" t="s">
        <v>22</v>
      </c>
      <c r="G63">
        <v>7</v>
      </c>
      <c r="H63" t="s">
        <v>13</v>
      </c>
    </row>
    <row r="64" spans="1:8" x14ac:dyDescent="0.25">
      <c r="A64" t="s">
        <v>150</v>
      </c>
      <c r="B64" t="s">
        <v>151</v>
      </c>
      <c r="C64" t="s">
        <v>25</v>
      </c>
      <c r="D64">
        <v>299</v>
      </c>
      <c r="E64" t="s">
        <v>33</v>
      </c>
      <c r="F64" t="s">
        <v>12</v>
      </c>
      <c r="G64">
        <v>1</v>
      </c>
      <c r="H64" t="s">
        <v>13</v>
      </c>
    </row>
    <row r="65" spans="1:8" x14ac:dyDescent="0.25">
      <c r="A65" t="s">
        <v>152</v>
      </c>
      <c r="B65" t="s">
        <v>153</v>
      </c>
      <c r="C65" t="s">
        <v>25</v>
      </c>
      <c r="D65">
        <v>299</v>
      </c>
      <c r="E65" t="s">
        <v>11</v>
      </c>
      <c r="F65" t="s">
        <v>12</v>
      </c>
      <c r="G65">
        <v>21</v>
      </c>
      <c r="H65" t="s">
        <v>13</v>
      </c>
    </row>
    <row r="66" spans="1:8" x14ac:dyDescent="0.25">
      <c r="A66" t="s">
        <v>154</v>
      </c>
      <c r="B66" t="s">
        <v>155</v>
      </c>
      <c r="C66" t="s">
        <v>25</v>
      </c>
      <c r="D66">
        <v>299</v>
      </c>
      <c r="E66" t="s">
        <v>16</v>
      </c>
      <c r="F66" t="s">
        <v>22</v>
      </c>
      <c r="G66">
        <v>1</v>
      </c>
      <c r="H66" t="s">
        <v>18</v>
      </c>
    </row>
    <row r="67" spans="1:8" x14ac:dyDescent="0.25">
      <c r="A67" t="s">
        <v>156</v>
      </c>
      <c r="B67" t="s">
        <v>157</v>
      </c>
      <c r="C67" t="s">
        <v>21</v>
      </c>
      <c r="D67">
        <v>999</v>
      </c>
      <c r="E67" t="s">
        <v>16</v>
      </c>
      <c r="F67" t="s">
        <v>65</v>
      </c>
      <c r="G67">
        <v>3</v>
      </c>
      <c r="H67" t="s">
        <v>18</v>
      </c>
    </row>
    <row r="68" spans="1:8" x14ac:dyDescent="0.25">
      <c r="A68" t="s">
        <v>158</v>
      </c>
      <c r="B68" t="s">
        <v>159</v>
      </c>
      <c r="C68" t="s">
        <v>10</v>
      </c>
      <c r="D68">
        <v>599</v>
      </c>
      <c r="E68" t="s">
        <v>16</v>
      </c>
      <c r="F68" t="s">
        <v>22</v>
      </c>
      <c r="G68">
        <v>16</v>
      </c>
      <c r="H68" t="s">
        <v>18</v>
      </c>
    </row>
    <row r="69" spans="1:8" x14ac:dyDescent="0.25">
      <c r="A69" t="s">
        <v>160</v>
      </c>
      <c r="B69" t="s">
        <v>161</v>
      </c>
      <c r="C69" t="s">
        <v>10</v>
      </c>
      <c r="D69">
        <v>599</v>
      </c>
      <c r="E69" t="s">
        <v>11</v>
      </c>
      <c r="F69" t="s">
        <v>12</v>
      </c>
      <c r="G69">
        <v>24</v>
      </c>
      <c r="H69" t="s">
        <v>18</v>
      </c>
    </row>
    <row r="70" spans="1:8" x14ac:dyDescent="0.25">
      <c r="A70" t="s">
        <v>162</v>
      </c>
      <c r="B70" t="s">
        <v>163</v>
      </c>
      <c r="C70" t="s">
        <v>21</v>
      </c>
      <c r="D70">
        <v>999</v>
      </c>
      <c r="E70" t="s">
        <v>33</v>
      </c>
      <c r="F70" t="s">
        <v>12</v>
      </c>
      <c r="G70">
        <v>20</v>
      </c>
      <c r="H70" t="s">
        <v>18</v>
      </c>
    </row>
    <row r="71" spans="1:8" x14ac:dyDescent="0.25">
      <c r="A71" t="s">
        <v>164</v>
      </c>
      <c r="B71" t="s">
        <v>165</v>
      </c>
      <c r="C71" t="s">
        <v>25</v>
      </c>
      <c r="D71">
        <v>299</v>
      </c>
      <c r="E71" t="s">
        <v>16</v>
      </c>
      <c r="F71" t="s">
        <v>17</v>
      </c>
      <c r="G71">
        <v>8</v>
      </c>
      <c r="H71" t="s">
        <v>13</v>
      </c>
    </row>
    <row r="72" spans="1:8" x14ac:dyDescent="0.25">
      <c r="A72" t="s">
        <v>166</v>
      </c>
      <c r="B72" t="s">
        <v>167</v>
      </c>
      <c r="C72" t="s">
        <v>25</v>
      </c>
      <c r="D72">
        <v>299</v>
      </c>
      <c r="E72" t="s">
        <v>33</v>
      </c>
      <c r="F72" t="s">
        <v>48</v>
      </c>
      <c r="G72">
        <v>8</v>
      </c>
      <c r="H72" t="s">
        <v>18</v>
      </c>
    </row>
    <row r="73" spans="1:8" x14ac:dyDescent="0.25">
      <c r="A73" t="s">
        <v>168</v>
      </c>
      <c r="B73" t="s">
        <v>169</v>
      </c>
      <c r="C73" t="s">
        <v>10</v>
      </c>
      <c r="D73">
        <v>599</v>
      </c>
      <c r="E73" t="s">
        <v>33</v>
      </c>
      <c r="F73" t="s">
        <v>48</v>
      </c>
      <c r="G73">
        <v>9</v>
      </c>
      <c r="H73" t="s">
        <v>18</v>
      </c>
    </row>
    <row r="74" spans="1:8" x14ac:dyDescent="0.25">
      <c r="A74" t="s">
        <v>170</v>
      </c>
      <c r="B74" t="s">
        <v>171</v>
      </c>
      <c r="C74" t="s">
        <v>10</v>
      </c>
      <c r="D74">
        <v>599</v>
      </c>
      <c r="E74" t="s">
        <v>16</v>
      </c>
      <c r="F74" t="s">
        <v>22</v>
      </c>
      <c r="G74">
        <v>4</v>
      </c>
      <c r="H74" t="s">
        <v>18</v>
      </c>
    </row>
    <row r="75" spans="1:8" x14ac:dyDescent="0.25">
      <c r="A75" t="s">
        <v>172</v>
      </c>
      <c r="B75" t="s">
        <v>173</v>
      </c>
      <c r="C75" t="s">
        <v>25</v>
      </c>
      <c r="D75">
        <v>299</v>
      </c>
      <c r="E75" t="s">
        <v>16</v>
      </c>
      <c r="F75" t="s">
        <v>22</v>
      </c>
      <c r="G75">
        <v>11</v>
      </c>
      <c r="H75" t="s">
        <v>13</v>
      </c>
    </row>
    <row r="76" spans="1:8" x14ac:dyDescent="0.25">
      <c r="A76" t="s">
        <v>174</v>
      </c>
      <c r="B76" t="s">
        <v>175</v>
      </c>
      <c r="C76" t="s">
        <v>21</v>
      </c>
      <c r="D76">
        <v>999</v>
      </c>
      <c r="E76" t="s">
        <v>26</v>
      </c>
      <c r="F76" t="s">
        <v>62</v>
      </c>
      <c r="G76">
        <v>9</v>
      </c>
      <c r="H76" t="s">
        <v>18</v>
      </c>
    </row>
    <row r="77" spans="1:8" x14ac:dyDescent="0.25">
      <c r="A77" t="s">
        <v>176</v>
      </c>
      <c r="B77" t="s">
        <v>177</v>
      </c>
      <c r="C77" t="s">
        <v>10</v>
      </c>
      <c r="D77">
        <v>599</v>
      </c>
      <c r="E77" t="s">
        <v>33</v>
      </c>
      <c r="F77" t="s">
        <v>59</v>
      </c>
      <c r="G77">
        <v>7</v>
      </c>
      <c r="H77" t="s">
        <v>18</v>
      </c>
    </row>
    <row r="78" spans="1:8" x14ac:dyDescent="0.25">
      <c r="A78" t="s">
        <v>178</v>
      </c>
      <c r="B78" t="s">
        <v>179</v>
      </c>
      <c r="C78" t="s">
        <v>25</v>
      </c>
      <c r="D78">
        <v>299</v>
      </c>
      <c r="E78" t="s">
        <v>26</v>
      </c>
      <c r="F78" t="s">
        <v>27</v>
      </c>
      <c r="G78">
        <v>5</v>
      </c>
      <c r="H78" t="s">
        <v>18</v>
      </c>
    </row>
    <row r="79" spans="1:8" x14ac:dyDescent="0.25">
      <c r="A79" t="s">
        <v>180</v>
      </c>
      <c r="B79" t="s">
        <v>181</v>
      </c>
      <c r="C79" t="s">
        <v>10</v>
      </c>
      <c r="D79">
        <v>599</v>
      </c>
      <c r="E79" t="s">
        <v>11</v>
      </c>
      <c r="F79" t="s">
        <v>48</v>
      </c>
      <c r="G79">
        <v>2</v>
      </c>
      <c r="H79" t="s">
        <v>18</v>
      </c>
    </row>
    <row r="80" spans="1:8" x14ac:dyDescent="0.25">
      <c r="A80" t="s">
        <v>182</v>
      </c>
      <c r="B80" t="s">
        <v>183</v>
      </c>
      <c r="C80" t="s">
        <v>10</v>
      </c>
      <c r="D80">
        <v>599</v>
      </c>
      <c r="E80" t="s">
        <v>11</v>
      </c>
      <c r="F80" t="s">
        <v>12</v>
      </c>
      <c r="G80">
        <v>20</v>
      </c>
      <c r="H80" t="s">
        <v>13</v>
      </c>
    </row>
    <row r="81" spans="1:8" x14ac:dyDescent="0.25">
      <c r="A81" t="s">
        <v>184</v>
      </c>
      <c r="B81" t="s">
        <v>185</v>
      </c>
      <c r="C81" t="s">
        <v>25</v>
      </c>
      <c r="D81">
        <v>299</v>
      </c>
      <c r="E81" t="s">
        <v>26</v>
      </c>
      <c r="F81" t="s">
        <v>27</v>
      </c>
      <c r="G81">
        <v>13</v>
      </c>
      <c r="H81" t="s">
        <v>13</v>
      </c>
    </row>
    <row r="82" spans="1:8" x14ac:dyDescent="0.25">
      <c r="A82" t="s">
        <v>186</v>
      </c>
      <c r="B82" t="s">
        <v>187</v>
      </c>
      <c r="C82" t="s">
        <v>25</v>
      </c>
      <c r="D82">
        <v>299</v>
      </c>
      <c r="E82" t="s">
        <v>33</v>
      </c>
      <c r="F82" t="s">
        <v>94</v>
      </c>
      <c r="G82">
        <v>6</v>
      </c>
      <c r="H82" t="s">
        <v>13</v>
      </c>
    </row>
    <row r="83" spans="1:8" x14ac:dyDescent="0.25">
      <c r="A83" t="s">
        <v>188</v>
      </c>
      <c r="B83" t="s">
        <v>189</v>
      </c>
      <c r="C83" t="s">
        <v>21</v>
      </c>
      <c r="D83">
        <v>999</v>
      </c>
      <c r="E83" t="s">
        <v>26</v>
      </c>
      <c r="F83" t="s">
        <v>62</v>
      </c>
      <c r="G83">
        <v>21</v>
      </c>
      <c r="H83" t="s">
        <v>13</v>
      </c>
    </row>
    <row r="84" spans="1:8" x14ac:dyDescent="0.25">
      <c r="A84" t="s">
        <v>190</v>
      </c>
      <c r="B84" t="s">
        <v>179</v>
      </c>
      <c r="C84" t="s">
        <v>21</v>
      </c>
      <c r="D84">
        <v>999</v>
      </c>
      <c r="E84" t="s">
        <v>16</v>
      </c>
      <c r="F84" t="s">
        <v>22</v>
      </c>
      <c r="G84">
        <v>23</v>
      </c>
      <c r="H84" t="s">
        <v>18</v>
      </c>
    </row>
    <row r="85" spans="1:8" x14ac:dyDescent="0.25">
      <c r="A85" t="s">
        <v>191</v>
      </c>
      <c r="B85" t="s">
        <v>96</v>
      </c>
      <c r="C85" t="s">
        <v>10</v>
      </c>
      <c r="D85">
        <v>599</v>
      </c>
      <c r="E85" t="s">
        <v>16</v>
      </c>
      <c r="F85" t="s">
        <v>17</v>
      </c>
      <c r="G85">
        <v>13</v>
      </c>
      <c r="H85" t="s">
        <v>18</v>
      </c>
    </row>
    <row r="86" spans="1:8" x14ac:dyDescent="0.25">
      <c r="A86" t="s">
        <v>192</v>
      </c>
      <c r="B86" t="s">
        <v>193</v>
      </c>
      <c r="C86" t="s">
        <v>10</v>
      </c>
      <c r="D86">
        <v>599</v>
      </c>
      <c r="E86" t="s">
        <v>26</v>
      </c>
      <c r="F86" t="s">
        <v>50</v>
      </c>
      <c r="G86">
        <v>12</v>
      </c>
      <c r="H86" t="s">
        <v>18</v>
      </c>
    </row>
    <row r="87" spans="1:8" x14ac:dyDescent="0.25">
      <c r="A87" t="s">
        <v>194</v>
      </c>
      <c r="B87" t="s">
        <v>195</v>
      </c>
      <c r="C87" t="s">
        <v>21</v>
      </c>
      <c r="D87">
        <v>999</v>
      </c>
      <c r="E87" t="s">
        <v>11</v>
      </c>
      <c r="F87" t="s">
        <v>59</v>
      </c>
      <c r="G87">
        <v>2</v>
      </c>
      <c r="H87" t="s">
        <v>13</v>
      </c>
    </row>
    <row r="88" spans="1:8" x14ac:dyDescent="0.25">
      <c r="A88" t="s">
        <v>196</v>
      </c>
      <c r="B88" t="s">
        <v>197</v>
      </c>
      <c r="C88" t="s">
        <v>21</v>
      </c>
      <c r="D88">
        <v>999</v>
      </c>
      <c r="E88" t="s">
        <v>33</v>
      </c>
      <c r="F88" t="s">
        <v>59</v>
      </c>
      <c r="G88">
        <v>10</v>
      </c>
      <c r="H88" t="s">
        <v>18</v>
      </c>
    </row>
    <row r="89" spans="1:8" x14ac:dyDescent="0.25">
      <c r="A89" t="s">
        <v>198</v>
      </c>
      <c r="B89" t="s">
        <v>199</v>
      </c>
      <c r="C89" t="s">
        <v>25</v>
      </c>
      <c r="D89">
        <v>299</v>
      </c>
      <c r="E89" t="s">
        <v>16</v>
      </c>
      <c r="F89" t="s">
        <v>17</v>
      </c>
      <c r="G89">
        <v>15</v>
      </c>
      <c r="H89" t="s">
        <v>18</v>
      </c>
    </row>
    <row r="90" spans="1:8" x14ac:dyDescent="0.25">
      <c r="A90" t="s">
        <v>200</v>
      </c>
      <c r="B90" t="s">
        <v>201</v>
      </c>
      <c r="C90" t="s">
        <v>21</v>
      </c>
      <c r="D90">
        <v>999</v>
      </c>
      <c r="E90" t="s">
        <v>26</v>
      </c>
      <c r="F90" t="s">
        <v>62</v>
      </c>
      <c r="G90">
        <v>13</v>
      </c>
      <c r="H90" t="s">
        <v>18</v>
      </c>
    </row>
    <row r="91" spans="1:8" x14ac:dyDescent="0.25">
      <c r="A91" t="s">
        <v>202</v>
      </c>
      <c r="B91" t="s">
        <v>203</v>
      </c>
      <c r="C91" t="s">
        <v>10</v>
      </c>
      <c r="D91">
        <v>599</v>
      </c>
      <c r="E91" t="s">
        <v>16</v>
      </c>
      <c r="F91" t="s">
        <v>17</v>
      </c>
      <c r="G91">
        <v>15</v>
      </c>
      <c r="H91" t="s">
        <v>18</v>
      </c>
    </row>
    <row r="92" spans="1:8" x14ac:dyDescent="0.25">
      <c r="A92" t="s">
        <v>204</v>
      </c>
      <c r="B92" t="s">
        <v>75</v>
      </c>
      <c r="C92" t="s">
        <v>21</v>
      </c>
      <c r="D92">
        <v>999</v>
      </c>
      <c r="E92" t="s">
        <v>11</v>
      </c>
      <c r="F92" t="s">
        <v>59</v>
      </c>
      <c r="G92">
        <v>10</v>
      </c>
      <c r="H92" t="s">
        <v>18</v>
      </c>
    </row>
    <row r="93" spans="1:8" x14ac:dyDescent="0.25">
      <c r="A93" t="s">
        <v>205</v>
      </c>
      <c r="B93" t="s">
        <v>163</v>
      </c>
      <c r="C93" t="s">
        <v>25</v>
      </c>
      <c r="D93">
        <v>299</v>
      </c>
      <c r="E93" t="s">
        <v>26</v>
      </c>
      <c r="F93" t="s">
        <v>27</v>
      </c>
      <c r="G93">
        <v>24</v>
      </c>
      <c r="H93" t="s">
        <v>13</v>
      </c>
    </row>
    <row r="94" spans="1:8" x14ac:dyDescent="0.25">
      <c r="A94" t="s">
        <v>206</v>
      </c>
      <c r="B94" t="s">
        <v>207</v>
      </c>
      <c r="C94" t="s">
        <v>25</v>
      </c>
      <c r="D94">
        <v>299</v>
      </c>
      <c r="E94" t="s">
        <v>33</v>
      </c>
      <c r="F94" t="s">
        <v>94</v>
      </c>
      <c r="G94">
        <v>19</v>
      </c>
      <c r="H94" t="s">
        <v>13</v>
      </c>
    </row>
    <row r="95" spans="1:8" x14ac:dyDescent="0.25">
      <c r="A95" t="s">
        <v>208</v>
      </c>
      <c r="B95" t="s">
        <v>209</v>
      </c>
      <c r="C95" t="s">
        <v>10</v>
      </c>
      <c r="D95">
        <v>599</v>
      </c>
      <c r="E95" t="s">
        <v>11</v>
      </c>
      <c r="F95" t="s">
        <v>48</v>
      </c>
      <c r="G95">
        <v>22</v>
      </c>
      <c r="H95" t="s">
        <v>18</v>
      </c>
    </row>
    <row r="96" spans="1:8" x14ac:dyDescent="0.25">
      <c r="A96" t="s">
        <v>210</v>
      </c>
      <c r="B96" t="s">
        <v>211</v>
      </c>
      <c r="C96" t="s">
        <v>25</v>
      </c>
      <c r="D96">
        <v>299</v>
      </c>
      <c r="E96" t="s">
        <v>33</v>
      </c>
      <c r="F96" t="s">
        <v>94</v>
      </c>
      <c r="G96">
        <v>11</v>
      </c>
      <c r="H96" t="s">
        <v>13</v>
      </c>
    </row>
    <row r="97" spans="1:8" x14ac:dyDescent="0.25">
      <c r="A97" t="s">
        <v>212</v>
      </c>
      <c r="B97" t="s">
        <v>213</v>
      </c>
      <c r="C97" t="s">
        <v>21</v>
      </c>
      <c r="D97">
        <v>999</v>
      </c>
      <c r="E97" t="s">
        <v>33</v>
      </c>
      <c r="F97" t="s">
        <v>94</v>
      </c>
      <c r="G97">
        <v>14</v>
      </c>
      <c r="H97" t="s">
        <v>18</v>
      </c>
    </row>
    <row r="98" spans="1:8" x14ac:dyDescent="0.25">
      <c r="A98" t="s">
        <v>214</v>
      </c>
      <c r="B98" t="s">
        <v>215</v>
      </c>
      <c r="C98" t="s">
        <v>25</v>
      </c>
      <c r="D98">
        <v>299</v>
      </c>
      <c r="E98" t="s">
        <v>11</v>
      </c>
      <c r="F98" t="s">
        <v>30</v>
      </c>
      <c r="G98">
        <v>6</v>
      </c>
      <c r="H98" t="s">
        <v>18</v>
      </c>
    </row>
    <row r="99" spans="1:8" x14ac:dyDescent="0.25">
      <c r="A99" t="s">
        <v>216</v>
      </c>
      <c r="B99" t="s">
        <v>93</v>
      </c>
      <c r="C99" t="s">
        <v>10</v>
      </c>
      <c r="D99">
        <v>599</v>
      </c>
      <c r="E99" t="s">
        <v>11</v>
      </c>
      <c r="F99" t="s">
        <v>48</v>
      </c>
      <c r="G99">
        <v>13</v>
      </c>
      <c r="H99" t="s">
        <v>18</v>
      </c>
    </row>
    <row r="100" spans="1:8" x14ac:dyDescent="0.25">
      <c r="A100" t="s">
        <v>217</v>
      </c>
      <c r="B100" t="s">
        <v>218</v>
      </c>
      <c r="C100" t="s">
        <v>10</v>
      </c>
      <c r="D100">
        <v>599</v>
      </c>
      <c r="E100" t="s">
        <v>26</v>
      </c>
      <c r="F100" t="s">
        <v>27</v>
      </c>
      <c r="G100">
        <v>24</v>
      </c>
      <c r="H100" t="s">
        <v>13</v>
      </c>
    </row>
    <row r="101" spans="1:8" x14ac:dyDescent="0.25">
      <c r="A101" t="s">
        <v>219</v>
      </c>
      <c r="B101" t="s">
        <v>220</v>
      </c>
      <c r="C101" t="s">
        <v>21</v>
      </c>
      <c r="D101">
        <v>999</v>
      </c>
      <c r="E101" t="s">
        <v>33</v>
      </c>
      <c r="F101" t="s">
        <v>94</v>
      </c>
      <c r="G101">
        <v>24</v>
      </c>
      <c r="H10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3068B-AE91-49ED-A151-8E19230573CB}">
  <dimension ref="A1:M101"/>
  <sheetViews>
    <sheetView tabSelected="1" topLeftCell="A16" zoomScaleNormal="100" workbookViewId="0">
      <selection activeCell="J17" sqref="J17:M21"/>
    </sheetView>
  </sheetViews>
  <sheetFormatPr defaultRowHeight="15" x14ac:dyDescent="0.25"/>
  <cols>
    <col min="1" max="1" width="13.140625" customWidth="1"/>
    <col min="2" max="2" width="11.28515625" customWidth="1"/>
    <col min="3" max="3" width="12.42578125" customWidth="1"/>
    <col min="4" max="4" width="10.140625" customWidth="1"/>
    <col min="5" max="5" width="11.85546875" customWidth="1"/>
    <col min="6" max="6" width="15.5703125" customWidth="1"/>
    <col min="7" max="7" width="10" customWidth="1"/>
    <col min="8" max="8" width="16.140625" customWidth="1"/>
    <col min="9" max="9" width="19.85546875" customWidth="1"/>
    <col min="10" max="10" width="14.28515625" customWidth="1"/>
    <col min="11" max="11" width="12.42578125" customWidth="1"/>
    <col min="12" max="12" width="10.85546875" customWidth="1"/>
    <col min="13" max="13" width="14.85546875" customWidth="1"/>
    <col min="15" max="15" width="9.140625" customWidth="1"/>
    <col min="19" max="19" width="9.140625" customWidth="1"/>
  </cols>
  <sheetData>
    <row r="1" spans="1:13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226</v>
      </c>
      <c r="I1" s="2" t="s">
        <v>221</v>
      </c>
      <c r="J1" s="1" t="s">
        <v>223</v>
      </c>
      <c r="K1" s="2" t="s">
        <v>224</v>
      </c>
      <c r="L1" s="4" t="s">
        <v>225</v>
      </c>
      <c r="M1" s="2" t="s">
        <v>227</v>
      </c>
    </row>
    <row r="2" spans="1:13" x14ac:dyDescent="0.25">
      <c r="A2" t="s">
        <v>8</v>
      </c>
      <c r="B2" t="s">
        <v>10</v>
      </c>
      <c r="C2">
        <v>599</v>
      </c>
      <c r="D2" t="s">
        <v>11</v>
      </c>
      <c r="E2" t="s">
        <v>12</v>
      </c>
      <c r="F2">
        <v>8</v>
      </c>
      <c r="G2" t="s">
        <v>13</v>
      </c>
      <c r="H2" t="str">
        <f>IF(OR(F2&lt;6, C2="Basic"), "High Risk", IF(F2&lt;12, "Medium Risk", "Low Risk"))</f>
        <v>Medium Risk</v>
      </c>
      <c r="I2" t="s">
        <v>33</v>
      </c>
      <c r="J2">
        <f>COUNTIFS($D$2:$D$101,I2,$G$2:$G$101,"Churned")</f>
        <v>8</v>
      </c>
      <c r="K2">
        <f>COUNTIFS($D$2:$D$101,I2,$G$2:$G$101,"Active")</f>
        <v>14</v>
      </c>
      <c r="L2" s="5">
        <f>J2/(J2+K2)</f>
        <v>0.36363636363636365</v>
      </c>
      <c r="M2">
        <f>COUNTIF(H2:H101, "High Risk")</f>
        <v>17</v>
      </c>
    </row>
    <row r="3" spans="1:13" x14ac:dyDescent="0.25">
      <c r="A3" t="s">
        <v>14</v>
      </c>
      <c r="B3" t="s">
        <v>10</v>
      </c>
      <c r="C3">
        <v>599</v>
      </c>
      <c r="D3" t="s">
        <v>16</v>
      </c>
      <c r="E3" t="s">
        <v>17</v>
      </c>
      <c r="F3">
        <v>22</v>
      </c>
      <c r="G3" t="s">
        <v>18</v>
      </c>
      <c r="H3" t="str">
        <f t="shared" ref="H3:H66" si="0">IF(OR(F3&lt;6, C3="Basic"), "High Risk", IF(F3&lt;12, "Medium Risk", "Low Risk"))</f>
        <v>Low Risk</v>
      </c>
      <c r="I3" t="s">
        <v>11</v>
      </c>
      <c r="J3">
        <f t="shared" ref="J3:J5" si="1">COUNTIFS($D$2:$D$101,I3,$G$2:$G$101,"Churned")</f>
        <v>10</v>
      </c>
      <c r="K3">
        <f t="shared" ref="K3:K5" si="2">COUNTIFS($D$2:$D$101,I3,$G$2:$G$101,"Active")</f>
        <v>20</v>
      </c>
      <c r="L3" s="5">
        <f t="shared" ref="L3:L5" si="3">J3/(J3+K3)</f>
        <v>0.33333333333333331</v>
      </c>
      <c r="M3">
        <f>COUNTIF(H2:H101, "Medium Risk")</f>
        <v>29</v>
      </c>
    </row>
    <row r="4" spans="1:13" x14ac:dyDescent="0.25">
      <c r="A4" t="s">
        <v>19</v>
      </c>
      <c r="B4" t="s">
        <v>21</v>
      </c>
      <c r="C4">
        <v>999</v>
      </c>
      <c r="D4" t="s">
        <v>16</v>
      </c>
      <c r="E4" t="s">
        <v>22</v>
      </c>
      <c r="F4">
        <v>14</v>
      </c>
      <c r="G4" t="s">
        <v>18</v>
      </c>
      <c r="H4" t="str">
        <f t="shared" si="0"/>
        <v>Low Risk</v>
      </c>
      <c r="I4" t="s">
        <v>26</v>
      </c>
      <c r="J4">
        <f t="shared" si="1"/>
        <v>11</v>
      </c>
      <c r="K4">
        <f t="shared" si="2"/>
        <v>13</v>
      </c>
      <c r="L4" s="5">
        <f t="shared" si="3"/>
        <v>0.45833333333333331</v>
      </c>
      <c r="M4">
        <f>COUNTIF(H2:H101, "Low Risk")</f>
        <v>54</v>
      </c>
    </row>
    <row r="5" spans="1:13" x14ac:dyDescent="0.25">
      <c r="A5" t="s">
        <v>23</v>
      </c>
      <c r="B5" t="s">
        <v>25</v>
      </c>
      <c r="C5">
        <v>299</v>
      </c>
      <c r="D5" t="s">
        <v>26</v>
      </c>
      <c r="E5" t="s">
        <v>27</v>
      </c>
      <c r="F5">
        <v>22</v>
      </c>
      <c r="G5" t="s">
        <v>13</v>
      </c>
      <c r="H5" t="str">
        <f t="shared" si="0"/>
        <v>Low Risk</v>
      </c>
      <c r="I5" t="s">
        <v>16</v>
      </c>
      <c r="J5">
        <f t="shared" si="1"/>
        <v>4</v>
      </c>
      <c r="K5">
        <f t="shared" si="2"/>
        <v>20</v>
      </c>
      <c r="L5" s="5">
        <f t="shared" si="3"/>
        <v>0.16666666666666666</v>
      </c>
    </row>
    <row r="6" spans="1:13" x14ac:dyDescent="0.25">
      <c r="A6" t="s">
        <v>28</v>
      </c>
      <c r="B6" t="s">
        <v>21</v>
      </c>
      <c r="C6">
        <v>999</v>
      </c>
      <c r="D6" t="s">
        <v>11</v>
      </c>
      <c r="E6" t="s">
        <v>30</v>
      </c>
      <c r="F6">
        <v>3</v>
      </c>
      <c r="G6" t="s">
        <v>18</v>
      </c>
      <c r="H6" t="str">
        <f t="shared" si="0"/>
        <v>High Risk</v>
      </c>
    </row>
    <row r="7" spans="1:13" x14ac:dyDescent="0.25">
      <c r="A7" t="s">
        <v>31</v>
      </c>
      <c r="B7" t="s">
        <v>21</v>
      </c>
      <c r="C7">
        <v>999</v>
      </c>
      <c r="D7" t="s">
        <v>33</v>
      </c>
      <c r="E7" t="s">
        <v>12</v>
      </c>
      <c r="F7">
        <v>11</v>
      </c>
      <c r="G7" t="s">
        <v>18</v>
      </c>
      <c r="H7" t="str">
        <f t="shared" si="0"/>
        <v>Medium Risk</v>
      </c>
    </row>
    <row r="8" spans="1:13" x14ac:dyDescent="0.25">
      <c r="A8" t="s">
        <v>34</v>
      </c>
      <c r="B8" t="s">
        <v>21</v>
      </c>
      <c r="C8">
        <v>999</v>
      </c>
      <c r="D8" t="s">
        <v>33</v>
      </c>
      <c r="E8" t="s">
        <v>12</v>
      </c>
      <c r="F8">
        <v>7</v>
      </c>
      <c r="G8" t="s">
        <v>18</v>
      </c>
      <c r="H8" t="str">
        <f t="shared" si="0"/>
        <v>Medium Risk</v>
      </c>
    </row>
    <row r="9" spans="1:13" x14ac:dyDescent="0.25">
      <c r="A9" t="s">
        <v>36</v>
      </c>
      <c r="B9" t="s">
        <v>25</v>
      </c>
      <c r="C9">
        <v>299</v>
      </c>
      <c r="D9" t="s">
        <v>16</v>
      </c>
      <c r="E9" t="s">
        <v>17</v>
      </c>
      <c r="F9">
        <v>7</v>
      </c>
      <c r="G9" t="s">
        <v>18</v>
      </c>
      <c r="H9" t="str">
        <f t="shared" si="0"/>
        <v>Medium Risk</v>
      </c>
    </row>
    <row r="10" spans="1:13" x14ac:dyDescent="0.25">
      <c r="A10" t="s">
        <v>38</v>
      </c>
      <c r="B10" t="s">
        <v>10</v>
      </c>
      <c r="C10">
        <v>599</v>
      </c>
      <c r="D10" t="s">
        <v>11</v>
      </c>
      <c r="E10" t="s">
        <v>12</v>
      </c>
      <c r="F10">
        <v>23</v>
      </c>
      <c r="G10" t="s">
        <v>13</v>
      </c>
      <c r="H10" t="str">
        <f t="shared" si="0"/>
        <v>Low Risk</v>
      </c>
    </row>
    <row r="11" spans="1:13" x14ac:dyDescent="0.25">
      <c r="A11" t="s">
        <v>40</v>
      </c>
      <c r="B11" t="s">
        <v>21</v>
      </c>
      <c r="C11">
        <v>999</v>
      </c>
      <c r="D11" t="s">
        <v>11</v>
      </c>
      <c r="E11" t="s">
        <v>12</v>
      </c>
      <c r="F11">
        <v>2</v>
      </c>
      <c r="G11" t="s">
        <v>13</v>
      </c>
      <c r="H11" t="str">
        <f t="shared" si="0"/>
        <v>High Risk</v>
      </c>
    </row>
    <row r="12" spans="1:13" x14ac:dyDescent="0.25">
      <c r="A12" t="s">
        <v>42</v>
      </c>
      <c r="B12" t="s">
        <v>10</v>
      </c>
      <c r="C12">
        <v>599</v>
      </c>
      <c r="D12" t="s">
        <v>16</v>
      </c>
      <c r="E12" t="s">
        <v>22</v>
      </c>
      <c r="F12">
        <v>14</v>
      </c>
      <c r="G12" t="s">
        <v>18</v>
      </c>
      <c r="H12" t="str">
        <f t="shared" si="0"/>
        <v>Low Risk</v>
      </c>
    </row>
    <row r="13" spans="1:13" x14ac:dyDescent="0.25">
      <c r="A13" t="s">
        <v>44</v>
      </c>
      <c r="B13" t="s">
        <v>10</v>
      </c>
      <c r="C13">
        <v>599</v>
      </c>
      <c r="D13" t="s">
        <v>33</v>
      </c>
      <c r="E13" t="s">
        <v>12</v>
      </c>
      <c r="F13">
        <v>11</v>
      </c>
      <c r="G13" t="s">
        <v>13</v>
      </c>
      <c r="H13" t="str">
        <f t="shared" si="0"/>
        <v>Medium Risk</v>
      </c>
      <c r="K13">
        <f>COUNTIFS(B2:B101, "Basic", G2:G101, "Churned")</f>
        <v>18</v>
      </c>
      <c r="L13">
        <f>COUNTIFS(B2:B101, "Basic", G2:G101, "Active")</f>
        <v>12</v>
      </c>
    </row>
    <row r="14" spans="1:13" x14ac:dyDescent="0.25">
      <c r="A14" t="s">
        <v>46</v>
      </c>
      <c r="B14" t="s">
        <v>25</v>
      </c>
      <c r="C14">
        <v>299</v>
      </c>
      <c r="D14" t="s">
        <v>33</v>
      </c>
      <c r="E14" t="s">
        <v>48</v>
      </c>
      <c r="F14">
        <v>15</v>
      </c>
      <c r="G14" t="s">
        <v>13</v>
      </c>
      <c r="H14" t="str">
        <f t="shared" si="0"/>
        <v>Low Risk</v>
      </c>
      <c r="K14">
        <f>COUNTIFS(B2:B101, "Standard", G2:G101, "Churned")</f>
        <v>11</v>
      </c>
      <c r="L14">
        <f>COUNTIFS(B2:B101, "Standard", G2:G101, "Active")</f>
        <v>29</v>
      </c>
    </row>
    <row r="15" spans="1:13" x14ac:dyDescent="0.25">
      <c r="A15" t="s">
        <v>49</v>
      </c>
      <c r="B15" t="s">
        <v>25</v>
      </c>
      <c r="C15">
        <v>299</v>
      </c>
      <c r="D15" t="s">
        <v>26</v>
      </c>
      <c r="E15" t="s">
        <v>50</v>
      </c>
      <c r="F15">
        <v>16</v>
      </c>
      <c r="G15" t="s">
        <v>18</v>
      </c>
      <c r="H15" t="str">
        <f t="shared" si="0"/>
        <v>Low Risk</v>
      </c>
      <c r="K15">
        <f>COUNTIFS(B2:B101, "Premium", G2:G101, "Churned")</f>
        <v>4</v>
      </c>
      <c r="L15">
        <f>COUNTIFS(B2:B101, "Premium", G2:G101, "Active")</f>
        <v>26</v>
      </c>
    </row>
    <row r="16" spans="1:13" x14ac:dyDescent="0.25">
      <c r="A16" t="s">
        <v>51</v>
      </c>
      <c r="B16" t="s">
        <v>21</v>
      </c>
      <c r="C16">
        <v>999</v>
      </c>
      <c r="D16" t="s">
        <v>11</v>
      </c>
      <c r="E16" t="s">
        <v>48</v>
      </c>
      <c r="F16">
        <v>4</v>
      </c>
      <c r="G16" t="s">
        <v>13</v>
      </c>
      <c r="H16" t="str">
        <f t="shared" si="0"/>
        <v>High Risk</v>
      </c>
    </row>
    <row r="17" spans="1:13" x14ac:dyDescent="0.25">
      <c r="A17" t="s">
        <v>53</v>
      </c>
      <c r="B17" t="s">
        <v>10</v>
      </c>
      <c r="C17">
        <v>599</v>
      </c>
      <c r="D17" t="s">
        <v>11</v>
      </c>
      <c r="E17" t="s">
        <v>12</v>
      </c>
      <c r="F17">
        <v>14</v>
      </c>
      <c r="G17" t="s">
        <v>13</v>
      </c>
      <c r="H17" t="str">
        <f t="shared" si="0"/>
        <v>Low Risk</v>
      </c>
      <c r="J17" t="s">
        <v>241</v>
      </c>
      <c r="K17" t="s">
        <v>13</v>
      </c>
      <c r="L17" t="s">
        <v>18</v>
      </c>
      <c r="M17" t="s">
        <v>225</v>
      </c>
    </row>
    <row r="18" spans="1:13" x14ac:dyDescent="0.25">
      <c r="A18" t="s">
        <v>55</v>
      </c>
      <c r="B18" t="s">
        <v>21</v>
      </c>
      <c r="C18">
        <v>999</v>
      </c>
      <c r="D18" t="s">
        <v>26</v>
      </c>
      <c r="E18" t="s">
        <v>27</v>
      </c>
      <c r="F18">
        <v>8</v>
      </c>
      <c r="G18" t="s">
        <v>18</v>
      </c>
      <c r="H18" t="str">
        <f t="shared" si="0"/>
        <v>Medium Risk</v>
      </c>
      <c r="J18" t="s">
        <v>242</v>
      </c>
      <c r="K18">
        <f>COUNTIFS(F2:F101, "&lt;=6", G2:G101, "Churned")</f>
        <v>5</v>
      </c>
      <c r="L18">
        <f>COUNTIFS(F2:F101, "&lt;=6", G2:G101, "Active")</f>
        <v>15</v>
      </c>
      <c r="M18" s="3">
        <f>K18/(K18+L18)</f>
        <v>0.25</v>
      </c>
    </row>
    <row r="19" spans="1:13" x14ac:dyDescent="0.25">
      <c r="A19" t="s">
        <v>57</v>
      </c>
      <c r="B19" t="s">
        <v>10</v>
      </c>
      <c r="C19">
        <v>599</v>
      </c>
      <c r="D19" t="s">
        <v>11</v>
      </c>
      <c r="E19" t="s">
        <v>59</v>
      </c>
      <c r="F19">
        <v>17</v>
      </c>
      <c r="G19" t="s">
        <v>18</v>
      </c>
      <c r="H19" t="str">
        <f t="shared" si="0"/>
        <v>Low Risk</v>
      </c>
      <c r="J19" t="s">
        <v>238</v>
      </c>
      <c r="K19">
        <f>COUNTIFS(F2:F101, "&gt;6", F2:F101, "&lt;=12", G2:G101, "Churned")</f>
        <v>9</v>
      </c>
      <c r="L19">
        <f>COUNTIFS(F2:F101, "&gt;6", F2:F101, "&lt;=12", G2:G101, "Active")</f>
        <v>21</v>
      </c>
      <c r="M19" s="3">
        <f t="shared" ref="M19:M21" si="4">K19/(K19+L19)</f>
        <v>0.3</v>
      </c>
    </row>
    <row r="20" spans="1:13" x14ac:dyDescent="0.25">
      <c r="A20" t="s">
        <v>60</v>
      </c>
      <c r="B20" t="s">
        <v>25</v>
      </c>
      <c r="C20">
        <v>299</v>
      </c>
      <c r="D20" t="s">
        <v>26</v>
      </c>
      <c r="E20" t="s">
        <v>62</v>
      </c>
      <c r="F20">
        <v>13</v>
      </c>
      <c r="G20" t="s">
        <v>13</v>
      </c>
      <c r="H20" t="str">
        <f t="shared" si="0"/>
        <v>Low Risk</v>
      </c>
      <c r="J20" t="s">
        <v>239</v>
      </c>
      <c r="K20">
        <f>COUNTIFS(F2:F101, "&gt;12", F2:F101, "&lt;=18", G2:G101, "Churned")</f>
        <v>9</v>
      </c>
      <c r="L20">
        <f>COUNTIFS(F2:F101, "&gt;12", F2:F101, "&lt;=18", G2:G101, "Active")</f>
        <v>20</v>
      </c>
      <c r="M20" s="3">
        <f t="shared" si="4"/>
        <v>0.31034482758620691</v>
      </c>
    </row>
    <row r="21" spans="1:13" x14ac:dyDescent="0.25">
      <c r="A21" t="s">
        <v>63</v>
      </c>
      <c r="B21" t="s">
        <v>10</v>
      </c>
      <c r="C21">
        <v>599</v>
      </c>
      <c r="D21" t="s">
        <v>16</v>
      </c>
      <c r="E21" t="s">
        <v>65</v>
      </c>
      <c r="F21">
        <v>18</v>
      </c>
      <c r="G21" t="s">
        <v>13</v>
      </c>
      <c r="H21" t="str">
        <f t="shared" si="0"/>
        <v>Low Risk</v>
      </c>
      <c r="J21" t="s">
        <v>240</v>
      </c>
      <c r="K21">
        <f>COUNTIFS(F2:F101, "&gt;18", G2:G101, "Churned")</f>
        <v>10</v>
      </c>
      <c r="L21">
        <f>COUNTIFS(F2:F101, "&gt;18", G2:G101, "Active")</f>
        <v>11</v>
      </c>
      <c r="M21" s="3">
        <f t="shared" si="4"/>
        <v>0.47619047619047616</v>
      </c>
    </row>
    <row r="22" spans="1:13" x14ac:dyDescent="0.25">
      <c r="A22" t="s">
        <v>66</v>
      </c>
      <c r="B22" t="s">
        <v>10</v>
      </c>
      <c r="C22">
        <v>599</v>
      </c>
      <c r="D22" t="s">
        <v>16</v>
      </c>
      <c r="E22" t="s">
        <v>65</v>
      </c>
      <c r="F22">
        <v>8</v>
      </c>
      <c r="G22" t="s">
        <v>18</v>
      </c>
      <c r="H22" t="str">
        <f t="shared" si="0"/>
        <v>Medium Risk</v>
      </c>
    </row>
    <row r="23" spans="1:13" x14ac:dyDescent="0.25">
      <c r="A23" t="s">
        <v>68</v>
      </c>
      <c r="B23" t="s">
        <v>25</v>
      </c>
      <c r="C23">
        <v>299</v>
      </c>
      <c r="D23" t="s">
        <v>26</v>
      </c>
      <c r="E23" t="s">
        <v>62</v>
      </c>
      <c r="F23">
        <v>23</v>
      </c>
      <c r="G23" t="s">
        <v>18</v>
      </c>
      <c r="H23" t="str">
        <f t="shared" si="0"/>
        <v>Low Risk</v>
      </c>
    </row>
    <row r="24" spans="1:13" x14ac:dyDescent="0.25">
      <c r="A24" t="s">
        <v>70</v>
      </c>
      <c r="B24" t="s">
        <v>21</v>
      </c>
      <c r="C24">
        <v>999</v>
      </c>
      <c r="D24" t="s">
        <v>11</v>
      </c>
      <c r="E24" t="s">
        <v>48</v>
      </c>
      <c r="F24">
        <v>10</v>
      </c>
      <c r="G24" t="s">
        <v>18</v>
      </c>
      <c r="H24" t="str">
        <f t="shared" si="0"/>
        <v>Medium Risk</v>
      </c>
    </row>
    <row r="25" spans="1:13" x14ac:dyDescent="0.25">
      <c r="A25" t="s">
        <v>72</v>
      </c>
      <c r="B25" t="s">
        <v>10</v>
      </c>
      <c r="C25">
        <v>599</v>
      </c>
      <c r="D25" t="s">
        <v>16</v>
      </c>
      <c r="E25" t="s">
        <v>65</v>
      </c>
      <c r="F25">
        <v>3</v>
      </c>
      <c r="G25" t="s">
        <v>18</v>
      </c>
      <c r="H25" t="str">
        <f t="shared" si="0"/>
        <v>High Risk</v>
      </c>
    </row>
    <row r="26" spans="1:13" x14ac:dyDescent="0.25">
      <c r="A26" t="s">
        <v>74</v>
      </c>
      <c r="B26" t="s">
        <v>10</v>
      </c>
      <c r="C26">
        <v>599</v>
      </c>
      <c r="D26" t="s">
        <v>11</v>
      </c>
      <c r="E26" t="s">
        <v>30</v>
      </c>
      <c r="F26">
        <v>14</v>
      </c>
      <c r="G26" t="s">
        <v>18</v>
      </c>
      <c r="H26" t="str">
        <f t="shared" si="0"/>
        <v>Low Risk</v>
      </c>
    </row>
    <row r="27" spans="1:13" x14ac:dyDescent="0.25">
      <c r="A27" t="s">
        <v>76</v>
      </c>
      <c r="B27" t="s">
        <v>21</v>
      </c>
      <c r="C27">
        <v>999</v>
      </c>
      <c r="D27" t="s">
        <v>11</v>
      </c>
      <c r="E27" t="s">
        <v>30</v>
      </c>
      <c r="F27">
        <v>13</v>
      </c>
      <c r="G27" t="s">
        <v>18</v>
      </c>
      <c r="H27" t="str">
        <f t="shared" si="0"/>
        <v>Low Risk</v>
      </c>
    </row>
    <row r="28" spans="1:13" x14ac:dyDescent="0.25">
      <c r="A28" t="s">
        <v>78</v>
      </c>
      <c r="B28" t="s">
        <v>21</v>
      </c>
      <c r="C28">
        <v>999</v>
      </c>
      <c r="D28" t="s">
        <v>16</v>
      </c>
      <c r="E28" t="s">
        <v>22</v>
      </c>
      <c r="F28">
        <v>13</v>
      </c>
      <c r="G28" t="s">
        <v>18</v>
      </c>
      <c r="H28" t="str">
        <f t="shared" si="0"/>
        <v>Low Risk</v>
      </c>
    </row>
    <row r="29" spans="1:13" x14ac:dyDescent="0.25">
      <c r="A29" t="s">
        <v>80</v>
      </c>
      <c r="B29" t="s">
        <v>10</v>
      </c>
      <c r="C29">
        <v>599</v>
      </c>
      <c r="D29" t="s">
        <v>33</v>
      </c>
      <c r="E29" t="s">
        <v>59</v>
      </c>
      <c r="F29">
        <v>23</v>
      </c>
      <c r="G29" t="s">
        <v>18</v>
      </c>
      <c r="H29" t="str">
        <f t="shared" si="0"/>
        <v>Low Risk</v>
      </c>
    </row>
    <row r="30" spans="1:13" x14ac:dyDescent="0.25">
      <c r="A30" t="s">
        <v>82</v>
      </c>
      <c r="B30" t="s">
        <v>21</v>
      </c>
      <c r="C30">
        <v>999</v>
      </c>
      <c r="D30" t="s">
        <v>11</v>
      </c>
      <c r="E30" t="s">
        <v>30</v>
      </c>
      <c r="F30">
        <v>22</v>
      </c>
      <c r="G30" t="s">
        <v>18</v>
      </c>
      <c r="H30" t="str">
        <f t="shared" si="0"/>
        <v>Low Risk</v>
      </c>
    </row>
    <row r="31" spans="1:13" x14ac:dyDescent="0.25">
      <c r="A31" t="s">
        <v>84</v>
      </c>
      <c r="B31" t="s">
        <v>10</v>
      </c>
      <c r="C31">
        <v>599</v>
      </c>
      <c r="D31" t="s">
        <v>26</v>
      </c>
      <c r="E31" t="s">
        <v>50</v>
      </c>
      <c r="F31">
        <v>13</v>
      </c>
      <c r="G31" t="s">
        <v>13</v>
      </c>
      <c r="H31" t="str">
        <f t="shared" si="0"/>
        <v>Low Risk</v>
      </c>
    </row>
    <row r="32" spans="1:13" x14ac:dyDescent="0.25">
      <c r="A32" t="s">
        <v>86</v>
      </c>
      <c r="B32" t="s">
        <v>21</v>
      </c>
      <c r="C32">
        <v>999</v>
      </c>
      <c r="D32" t="s">
        <v>11</v>
      </c>
      <c r="E32" t="s">
        <v>59</v>
      </c>
      <c r="F32">
        <v>17</v>
      </c>
      <c r="G32" t="s">
        <v>18</v>
      </c>
      <c r="H32" t="str">
        <f t="shared" si="0"/>
        <v>Low Risk</v>
      </c>
    </row>
    <row r="33" spans="1:8" x14ac:dyDescent="0.25">
      <c r="A33" t="s">
        <v>88</v>
      </c>
      <c r="B33" t="s">
        <v>21</v>
      </c>
      <c r="C33">
        <v>999</v>
      </c>
      <c r="D33" t="s">
        <v>11</v>
      </c>
      <c r="E33" t="s">
        <v>48</v>
      </c>
      <c r="F33">
        <v>7</v>
      </c>
      <c r="G33" t="s">
        <v>18</v>
      </c>
      <c r="H33" t="str">
        <f t="shared" si="0"/>
        <v>Medium Risk</v>
      </c>
    </row>
    <row r="34" spans="1:8" x14ac:dyDescent="0.25">
      <c r="A34" t="s">
        <v>90</v>
      </c>
      <c r="B34" t="s">
        <v>10</v>
      </c>
      <c r="C34">
        <v>599</v>
      </c>
      <c r="D34" t="s">
        <v>26</v>
      </c>
      <c r="E34" t="s">
        <v>62</v>
      </c>
      <c r="F34">
        <v>24</v>
      </c>
      <c r="G34" t="s">
        <v>13</v>
      </c>
      <c r="H34" t="str">
        <f t="shared" si="0"/>
        <v>Low Risk</v>
      </c>
    </row>
    <row r="35" spans="1:8" x14ac:dyDescent="0.25">
      <c r="A35" t="s">
        <v>92</v>
      </c>
      <c r="B35" t="s">
        <v>10</v>
      </c>
      <c r="C35">
        <v>599</v>
      </c>
      <c r="D35" t="s">
        <v>33</v>
      </c>
      <c r="E35" t="s">
        <v>94</v>
      </c>
      <c r="F35">
        <v>2</v>
      </c>
      <c r="G35" t="s">
        <v>18</v>
      </c>
      <c r="H35" t="str">
        <f t="shared" si="0"/>
        <v>High Risk</v>
      </c>
    </row>
    <row r="36" spans="1:8" x14ac:dyDescent="0.25">
      <c r="A36" t="s">
        <v>95</v>
      </c>
      <c r="B36" t="s">
        <v>21</v>
      </c>
      <c r="C36">
        <v>999</v>
      </c>
      <c r="D36" t="s">
        <v>26</v>
      </c>
      <c r="E36" t="s">
        <v>62</v>
      </c>
      <c r="F36">
        <v>4</v>
      </c>
      <c r="G36" t="s">
        <v>18</v>
      </c>
      <c r="H36" t="str">
        <f t="shared" si="0"/>
        <v>High Risk</v>
      </c>
    </row>
    <row r="37" spans="1:8" x14ac:dyDescent="0.25">
      <c r="A37" t="s">
        <v>97</v>
      </c>
      <c r="B37" t="s">
        <v>10</v>
      </c>
      <c r="C37">
        <v>599</v>
      </c>
      <c r="D37" t="s">
        <v>11</v>
      </c>
      <c r="E37" t="s">
        <v>30</v>
      </c>
      <c r="F37">
        <v>15</v>
      </c>
      <c r="G37" t="s">
        <v>18</v>
      </c>
      <c r="H37" t="str">
        <f t="shared" si="0"/>
        <v>Low Risk</v>
      </c>
    </row>
    <row r="38" spans="1:8" x14ac:dyDescent="0.25">
      <c r="A38" t="s">
        <v>99</v>
      </c>
      <c r="B38" t="s">
        <v>10</v>
      </c>
      <c r="C38">
        <v>599</v>
      </c>
      <c r="D38" t="s">
        <v>16</v>
      </c>
      <c r="E38" t="s">
        <v>65</v>
      </c>
      <c r="F38">
        <v>18</v>
      </c>
      <c r="G38" t="s">
        <v>18</v>
      </c>
      <c r="H38" t="str">
        <f t="shared" si="0"/>
        <v>Low Risk</v>
      </c>
    </row>
    <row r="39" spans="1:8" x14ac:dyDescent="0.25">
      <c r="A39" t="s">
        <v>101</v>
      </c>
      <c r="B39" t="s">
        <v>10</v>
      </c>
      <c r="C39">
        <v>599</v>
      </c>
      <c r="D39" t="s">
        <v>26</v>
      </c>
      <c r="E39" t="s">
        <v>62</v>
      </c>
      <c r="F39">
        <v>9</v>
      </c>
      <c r="G39" t="s">
        <v>18</v>
      </c>
      <c r="H39" t="str">
        <f t="shared" si="0"/>
        <v>Medium Risk</v>
      </c>
    </row>
    <row r="40" spans="1:8" x14ac:dyDescent="0.25">
      <c r="A40" t="s">
        <v>103</v>
      </c>
      <c r="B40" t="s">
        <v>25</v>
      </c>
      <c r="C40">
        <v>299</v>
      </c>
      <c r="D40" t="s">
        <v>16</v>
      </c>
      <c r="E40" t="s">
        <v>17</v>
      </c>
      <c r="F40">
        <v>21</v>
      </c>
      <c r="G40" t="s">
        <v>18</v>
      </c>
      <c r="H40" t="str">
        <f t="shared" si="0"/>
        <v>Low Risk</v>
      </c>
    </row>
    <row r="41" spans="1:8" x14ac:dyDescent="0.25">
      <c r="A41" t="s">
        <v>105</v>
      </c>
      <c r="B41" t="s">
        <v>21</v>
      </c>
      <c r="C41">
        <v>999</v>
      </c>
      <c r="D41" t="s">
        <v>11</v>
      </c>
      <c r="E41" t="s">
        <v>59</v>
      </c>
      <c r="F41">
        <v>18</v>
      </c>
      <c r="G41" t="s">
        <v>18</v>
      </c>
      <c r="H41" t="str">
        <f t="shared" si="0"/>
        <v>Low Risk</v>
      </c>
    </row>
    <row r="42" spans="1:8" x14ac:dyDescent="0.25">
      <c r="A42" t="s">
        <v>107</v>
      </c>
      <c r="B42" t="s">
        <v>21</v>
      </c>
      <c r="C42">
        <v>999</v>
      </c>
      <c r="D42" t="s">
        <v>33</v>
      </c>
      <c r="E42" t="s">
        <v>94</v>
      </c>
      <c r="F42">
        <v>11</v>
      </c>
      <c r="G42" t="s">
        <v>18</v>
      </c>
      <c r="H42" t="str">
        <f t="shared" si="0"/>
        <v>Medium Risk</v>
      </c>
    </row>
    <row r="43" spans="1:8" x14ac:dyDescent="0.25">
      <c r="A43" t="s">
        <v>109</v>
      </c>
      <c r="B43" t="s">
        <v>10</v>
      </c>
      <c r="C43">
        <v>599</v>
      </c>
      <c r="D43" t="s">
        <v>33</v>
      </c>
      <c r="E43" t="s">
        <v>59</v>
      </c>
      <c r="F43">
        <v>21</v>
      </c>
      <c r="G43" t="s">
        <v>13</v>
      </c>
      <c r="H43" t="str">
        <f t="shared" si="0"/>
        <v>Low Risk</v>
      </c>
    </row>
    <row r="44" spans="1:8" x14ac:dyDescent="0.25">
      <c r="A44" t="s">
        <v>111</v>
      </c>
      <c r="B44" t="s">
        <v>10</v>
      </c>
      <c r="C44">
        <v>599</v>
      </c>
      <c r="D44" t="s">
        <v>26</v>
      </c>
      <c r="E44" t="s">
        <v>62</v>
      </c>
      <c r="F44">
        <v>5</v>
      </c>
      <c r="G44" t="s">
        <v>18</v>
      </c>
      <c r="H44" t="str">
        <f t="shared" si="0"/>
        <v>High Risk</v>
      </c>
    </row>
    <row r="45" spans="1:8" x14ac:dyDescent="0.25">
      <c r="A45" t="s">
        <v>113</v>
      </c>
      <c r="B45" t="s">
        <v>10</v>
      </c>
      <c r="C45">
        <v>599</v>
      </c>
      <c r="D45" t="s">
        <v>33</v>
      </c>
      <c r="E45" t="s">
        <v>94</v>
      </c>
      <c r="F45">
        <v>11</v>
      </c>
      <c r="G45" t="s">
        <v>18</v>
      </c>
      <c r="H45" t="str">
        <f t="shared" si="0"/>
        <v>Medium Risk</v>
      </c>
    </row>
    <row r="46" spans="1:8" x14ac:dyDescent="0.25">
      <c r="A46" t="s">
        <v>115</v>
      </c>
      <c r="B46" t="s">
        <v>10</v>
      </c>
      <c r="C46">
        <v>599</v>
      </c>
      <c r="D46" t="s">
        <v>11</v>
      </c>
      <c r="E46" t="s">
        <v>48</v>
      </c>
      <c r="F46">
        <v>2</v>
      </c>
      <c r="G46" t="s">
        <v>18</v>
      </c>
      <c r="H46" t="str">
        <f t="shared" si="0"/>
        <v>High Risk</v>
      </c>
    </row>
    <row r="47" spans="1:8" x14ac:dyDescent="0.25">
      <c r="A47" t="s">
        <v>117</v>
      </c>
      <c r="B47" t="s">
        <v>25</v>
      </c>
      <c r="C47">
        <v>299</v>
      </c>
      <c r="D47" t="s">
        <v>11</v>
      </c>
      <c r="E47" t="s">
        <v>59</v>
      </c>
      <c r="F47">
        <v>16</v>
      </c>
      <c r="G47" t="s">
        <v>13</v>
      </c>
      <c r="H47" t="str">
        <f t="shared" si="0"/>
        <v>Low Risk</v>
      </c>
    </row>
    <row r="48" spans="1:8" x14ac:dyDescent="0.25">
      <c r="A48" t="s">
        <v>119</v>
      </c>
      <c r="B48" t="s">
        <v>21</v>
      </c>
      <c r="C48">
        <v>999</v>
      </c>
      <c r="D48" t="s">
        <v>26</v>
      </c>
      <c r="E48" t="s">
        <v>62</v>
      </c>
      <c r="F48">
        <v>18</v>
      </c>
      <c r="G48" t="s">
        <v>18</v>
      </c>
      <c r="H48" t="str">
        <f t="shared" si="0"/>
        <v>Low Risk</v>
      </c>
    </row>
    <row r="49" spans="1:8" x14ac:dyDescent="0.25">
      <c r="A49" t="s">
        <v>121</v>
      </c>
      <c r="B49" t="s">
        <v>25</v>
      </c>
      <c r="C49">
        <v>299</v>
      </c>
      <c r="D49" t="s">
        <v>26</v>
      </c>
      <c r="E49" t="s">
        <v>50</v>
      </c>
      <c r="F49">
        <v>18</v>
      </c>
      <c r="G49" t="s">
        <v>13</v>
      </c>
      <c r="H49" t="str">
        <f t="shared" si="0"/>
        <v>Low Risk</v>
      </c>
    </row>
    <row r="50" spans="1:8" x14ac:dyDescent="0.25">
      <c r="A50" t="s">
        <v>123</v>
      </c>
      <c r="B50" t="s">
        <v>25</v>
      </c>
      <c r="C50">
        <v>299</v>
      </c>
      <c r="D50" t="s">
        <v>11</v>
      </c>
      <c r="E50" t="s">
        <v>12</v>
      </c>
      <c r="F50">
        <v>5</v>
      </c>
      <c r="G50" t="s">
        <v>18</v>
      </c>
      <c r="H50" t="str">
        <f t="shared" si="0"/>
        <v>High Risk</v>
      </c>
    </row>
    <row r="51" spans="1:8" x14ac:dyDescent="0.25">
      <c r="A51" t="s">
        <v>125</v>
      </c>
      <c r="B51" t="s">
        <v>21</v>
      </c>
      <c r="C51">
        <v>999</v>
      </c>
      <c r="D51" t="s">
        <v>16</v>
      </c>
      <c r="E51" t="s">
        <v>22</v>
      </c>
      <c r="F51">
        <v>12</v>
      </c>
      <c r="G51" t="s">
        <v>18</v>
      </c>
      <c r="H51" t="str">
        <f t="shared" si="0"/>
        <v>Low Risk</v>
      </c>
    </row>
    <row r="52" spans="1:8" x14ac:dyDescent="0.25">
      <c r="A52" t="s">
        <v>127</v>
      </c>
      <c r="B52" t="s">
        <v>21</v>
      </c>
      <c r="C52">
        <v>999</v>
      </c>
      <c r="D52" t="s">
        <v>11</v>
      </c>
      <c r="E52" t="s">
        <v>30</v>
      </c>
      <c r="F52">
        <v>2</v>
      </c>
      <c r="G52" t="s">
        <v>18</v>
      </c>
      <c r="H52" t="str">
        <f t="shared" si="0"/>
        <v>High Risk</v>
      </c>
    </row>
    <row r="53" spans="1:8" x14ac:dyDescent="0.25">
      <c r="A53" t="s">
        <v>129</v>
      </c>
      <c r="B53" t="s">
        <v>10</v>
      </c>
      <c r="C53">
        <v>599</v>
      </c>
      <c r="D53" t="s">
        <v>11</v>
      </c>
      <c r="E53" t="s">
        <v>30</v>
      </c>
      <c r="F53">
        <v>6</v>
      </c>
      <c r="G53" t="s">
        <v>18</v>
      </c>
      <c r="H53" t="str">
        <f t="shared" si="0"/>
        <v>Medium Risk</v>
      </c>
    </row>
    <row r="54" spans="1:8" x14ac:dyDescent="0.25">
      <c r="A54" t="s">
        <v>131</v>
      </c>
      <c r="B54" t="s">
        <v>10</v>
      </c>
      <c r="C54">
        <v>599</v>
      </c>
      <c r="D54" t="s">
        <v>33</v>
      </c>
      <c r="E54" t="s">
        <v>48</v>
      </c>
      <c r="F54">
        <v>13</v>
      </c>
      <c r="G54" t="s">
        <v>18</v>
      </c>
      <c r="H54" t="str">
        <f t="shared" si="0"/>
        <v>Low Risk</v>
      </c>
    </row>
    <row r="55" spans="1:8" x14ac:dyDescent="0.25">
      <c r="A55" t="s">
        <v>133</v>
      </c>
      <c r="B55" t="s">
        <v>25</v>
      </c>
      <c r="C55">
        <v>299</v>
      </c>
      <c r="D55" t="s">
        <v>16</v>
      </c>
      <c r="E55" t="s">
        <v>17</v>
      </c>
      <c r="F55">
        <v>20</v>
      </c>
      <c r="G55" t="s">
        <v>18</v>
      </c>
      <c r="H55" t="str">
        <f t="shared" si="0"/>
        <v>Low Risk</v>
      </c>
    </row>
    <row r="56" spans="1:8" x14ac:dyDescent="0.25">
      <c r="A56" t="s">
        <v>135</v>
      </c>
      <c r="B56" t="s">
        <v>25</v>
      </c>
      <c r="C56">
        <v>299</v>
      </c>
      <c r="D56" t="s">
        <v>11</v>
      </c>
      <c r="E56" t="s">
        <v>48</v>
      </c>
      <c r="F56">
        <v>12</v>
      </c>
      <c r="G56" t="s">
        <v>13</v>
      </c>
      <c r="H56" t="str">
        <f t="shared" si="0"/>
        <v>Low Risk</v>
      </c>
    </row>
    <row r="57" spans="1:8" x14ac:dyDescent="0.25">
      <c r="A57" t="s">
        <v>136</v>
      </c>
      <c r="B57" t="s">
        <v>25</v>
      </c>
      <c r="C57">
        <v>299</v>
      </c>
      <c r="D57" t="s">
        <v>16</v>
      </c>
      <c r="E57" t="s">
        <v>22</v>
      </c>
      <c r="F57">
        <v>10</v>
      </c>
      <c r="G57" t="s">
        <v>18</v>
      </c>
      <c r="H57" t="str">
        <f t="shared" si="0"/>
        <v>Medium Risk</v>
      </c>
    </row>
    <row r="58" spans="1:8" x14ac:dyDescent="0.25">
      <c r="A58" t="s">
        <v>138</v>
      </c>
      <c r="B58" t="s">
        <v>25</v>
      </c>
      <c r="C58">
        <v>299</v>
      </c>
      <c r="D58" t="s">
        <v>26</v>
      </c>
      <c r="E58" t="s">
        <v>50</v>
      </c>
      <c r="F58">
        <v>10</v>
      </c>
      <c r="G58" t="s">
        <v>13</v>
      </c>
      <c r="H58" t="str">
        <f t="shared" si="0"/>
        <v>Medium Risk</v>
      </c>
    </row>
    <row r="59" spans="1:8" x14ac:dyDescent="0.25">
      <c r="A59" t="s">
        <v>140</v>
      </c>
      <c r="B59" t="s">
        <v>10</v>
      </c>
      <c r="C59">
        <v>599</v>
      </c>
      <c r="D59" t="s">
        <v>33</v>
      </c>
      <c r="E59" t="s">
        <v>94</v>
      </c>
      <c r="F59">
        <v>12</v>
      </c>
      <c r="G59" t="s">
        <v>13</v>
      </c>
      <c r="H59" t="str">
        <f t="shared" si="0"/>
        <v>Low Risk</v>
      </c>
    </row>
    <row r="60" spans="1:8" x14ac:dyDescent="0.25">
      <c r="A60" t="s">
        <v>142</v>
      </c>
      <c r="B60" t="s">
        <v>10</v>
      </c>
      <c r="C60">
        <v>599</v>
      </c>
      <c r="D60" t="s">
        <v>26</v>
      </c>
      <c r="E60" t="s">
        <v>50</v>
      </c>
      <c r="F60">
        <v>11</v>
      </c>
      <c r="G60" t="s">
        <v>18</v>
      </c>
      <c r="H60" t="str">
        <f t="shared" si="0"/>
        <v>Medium Risk</v>
      </c>
    </row>
    <row r="61" spans="1:8" x14ac:dyDescent="0.25">
      <c r="A61" t="s">
        <v>144</v>
      </c>
      <c r="B61" t="s">
        <v>10</v>
      </c>
      <c r="C61">
        <v>599</v>
      </c>
      <c r="D61" t="s">
        <v>26</v>
      </c>
      <c r="E61" t="s">
        <v>50</v>
      </c>
      <c r="F61">
        <v>8</v>
      </c>
      <c r="G61" t="s">
        <v>18</v>
      </c>
      <c r="H61" t="str">
        <f t="shared" si="0"/>
        <v>Medium Risk</v>
      </c>
    </row>
    <row r="62" spans="1:8" x14ac:dyDescent="0.25">
      <c r="A62" t="s">
        <v>146</v>
      </c>
      <c r="B62" t="s">
        <v>25</v>
      </c>
      <c r="C62">
        <v>299</v>
      </c>
      <c r="D62" t="s">
        <v>26</v>
      </c>
      <c r="E62" t="s">
        <v>50</v>
      </c>
      <c r="F62">
        <v>13</v>
      </c>
      <c r="G62" t="s">
        <v>13</v>
      </c>
      <c r="H62" t="str">
        <f t="shared" si="0"/>
        <v>Low Risk</v>
      </c>
    </row>
    <row r="63" spans="1:8" x14ac:dyDescent="0.25">
      <c r="A63" t="s">
        <v>148</v>
      </c>
      <c r="B63" t="s">
        <v>25</v>
      </c>
      <c r="C63">
        <v>299</v>
      </c>
      <c r="D63" t="s">
        <v>16</v>
      </c>
      <c r="E63" t="s">
        <v>22</v>
      </c>
      <c r="F63">
        <v>7</v>
      </c>
      <c r="G63" t="s">
        <v>13</v>
      </c>
      <c r="H63" t="str">
        <f t="shared" si="0"/>
        <v>Medium Risk</v>
      </c>
    </row>
    <row r="64" spans="1:8" x14ac:dyDescent="0.25">
      <c r="A64" t="s">
        <v>150</v>
      </c>
      <c r="B64" t="s">
        <v>25</v>
      </c>
      <c r="C64">
        <v>299</v>
      </c>
      <c r="D64" t="s">
        <v>33</v>
      </c>
      <c r="E64" t="s">
        <v>12</v>
      </c>
      <c r="F64">
        <v>1</v>
      </c>
      <c r="G64" t="s">
        <v>13</v>
      </c>
      <c r="H64" t="str">
        <f t="shared" si="0"/>
        <v>High Risk</v>
      </c>
    </row>
    <row r="65" spans="1:8" x14ac:dyDescent="0.25">
      <c r="A65" t="s">
        <v>152</v>
      </c>
      <c r="B65" t="s">
        <v>25</v>
      </c>
      <c r="C65">
        <v>299</v>
      </c>
      <c r="D65" t="s">
        <v>11</v>
      </c>
      <c r="E65" t="s">
        <v>12</v>
      </c>
      <c r="F65">
        <v>21</v>
      </c>
      <c r="G65" t="s">
        <v>13</v>
      </c>
      <c r="H65" t="str">
        <f t="shared" si="0"/>
        <v>Low Risk</v>
      </c>
    </row>
    <row r="66" spans="1:8" x14ac:dyDescent="0.25">
      <c r="A66" t="s">
        <v>154</v>
      </c>
      <c r="B66" t="s">
        <v>25</v>
      </c>
      <c r="C66">
        <v>299</v>
      </c>
      <c r="D66" t="s">
        <v>16</v>
      </c>
      <c r="E66" t="s">
        <v>22</v>
      </c>
      <c r="F66">
        <v>1</v>
      </c>
      <c r="G66" t="s">
        <v>18</v>
      </c>
      <c r="H66" t="str">
        <f t="shared" si="0"/>
        <v>High Risk</v>
      </c>
    </row>
    <row r="67" spans="1:8" x14ac:dyDescent="0.25">
      <c r="A67" t="s">
        <v>156</v>
      </c>
      <c r="B67" t="s">
        <v>21</v>
      </c>
      <c r="C67">
        <v>999</v>
      </c>
      <c r="D67" t="s">
        <v>16</v>
      </c>
      <c r="E67" t="s">
        <v>65</v>
      </c>
      <c r="F67">
        <v>3</v>
      </c>
      <c r="G67" t="s">
        <v>18</v>
      </c>
      <c r="H67" t="str">
        <f t="shared" ref="H67:H101" si="5">IF(OR(F67&lt;6, C67="Basic"), "High Risk", IF(F67&lt;12, "Medium Risk", "Low Risk"))</f>
        <v>High Risk</v>
      </c>
    </row>
    <row r="68" spans="1:8" x14ac:dyDescent="0.25">
      <c r="A68" t="s">
        <v>158</v>
      </c>
      <c r="B68" t="s">
        <v>10</v>
      </c>
      <c r="C68">
        <v>599</v>
      </c>
      <c r="D68" t="s">
        <v>16</v>
      </c>
      <c r="E68" t="s">
        <v>22</v>
      </c>
      <c r="F68">
        <v>16</v>
      </c>
      <c r="G68" t="s">
        <v>18</v>
      </c>
      <c r="H68" t="str">
        <f t="shared" si="5"/>
        <v>Low Risk</v>
      </c>
    </row>
    <row r="69" spans="1:8" x14ac:dyDescent="0.25">
      <c r="A69" t="s">
        <v>160</v>
      </c>
      <c r="B69" t="s">
        <v>10</v>
      </c>
      <c r="C69">
        <v>599</v>
      </c>
      <c r="D69" t="s">
        <v>11</v>
      </c>
      <c r="E69" t="s">
        <v>12</v>
      </c>
      <c r="F69">
        <v>24</v>
      </c>
      <c r="G69" t="s">
        <v>18</v>
      </c>
      <c r="H69" t="str">
        <f t="shared" si="5"/>
        <v>Low Risk</v>
      </c>
    </row>
    <row r="70" spans="1:8" x14ac:dyDescent="0.25">
      <c r="A70" t="s">
        <v>162</v>
      </c>
      <c r="B70" t="s">
        <v>21</v>
      </c>
      <c r="C70">
        <v>999</v>
      </c>
      <c r="D70" t="s">
        <v>33</v>
      </c>
      <c r="E70" t="s">
        <v>12</v>
      </c>
      <c r="F70">
        <v>20</v>
      </c>
      <c r="G70" t="s">
        <v>18</v>
      </c>
      <c r="H70" t="str">
        <f t="shared" si="5"/>
        <v>Low Risk</v>
      </c>
    </row>
    <row r="71" spans="1:8" x14ac:dyDescent="0.25">
      <c r="A71" t="s">
        <v>164</v>
      </c>
      <c r="B71" t="s">
        <v>25</v>
      </c>
      <c r="C71">
        <v>299</v>
      </c>
      <c r="D71" t="s">
        <v>16</v>
      </c>
      <c r="E71" t="s">
        <v>17</v>
      </c>
      <c r="F71">
        <v>8</v>
      </c>
      <c r="G71" t="s">
        <v>13</v>
      </c>
      <c r="H71" t="str">
        <f t="shared" si="5"/>
        <v>Medium Risk</v>
      </c>
    </row>
    <row r="72" spans="1:8" x14ac:dyDescent="0.25">
      <c r="A72" t="s">
        <v>166</v>
      </c>
      <c r="B72" t="s">
        <v>25</v>
      </c>
      <c r="C72">
        <v>299</v>
      </c>
      <c r="D72" t="s">
        <v>33</v>
      </c>
      <c r="E72" t="s">
        <v>48</v>
      </c>
      <c r="F72">
        <v>8</v>
      </c>
      <c r="G72" t="s">
        <v>18</v>
      </c>
      <c r="H72" t="str">
        <f t="shared" si="5"/>
        <v>Medium Risk</v>
      </c>
    </row>
    <row r="73" spans="1:8" x14ac:dyDescent="0.25">
      <c r="A73" t="s">
        <v>168</v>
      </c>
      <c r="B73" t="s">
        <v>10</v>
      </c>
      <c r="C73">
        <v>599</v>
      </c>
      <c r="D73" t="s">
        <v>33</v>
      </c>
      <c r="E73" t="s">
        <v>48</v>
      </c>
      <c r="F73">
        <v>9</v>
      </c>
      <c r="G73" t="s">
        <v>18</v>
      </c>
      <c r="H73" t="str">
        <f t="shared" si="5"/>
        <v>Medium Risk</v>
      </c>
    </row>
    <row r="74" spans="1:8" x14ac:dyDescent="0.25">
      <c r="A74" t="s">
        <v>170</v>
      </c>
      <c r="B74" t="s">
        <v>10</v>
      </c>
      <c r="C74">
        <v>599</v>
      </c>
      <c r="D74" t="s">
        <v>16</v>
      </c>
      <c r="E74" t="s">
        <v>22</v>
      </c>
      <c r="F74">
        <v>4</v>
      </c>
      <c r="G74" t="s">
        <v>18</v>
      </c>
      <c r="H74" t="str">
        <f t="shared" si="5"/>
        <v>High Risk</v>
      </c>
    </row>
    <row r="75" spans="1:8" x14ac:dyDescent="0.25">
      <c r="A75" t="s">
        <v>172</v>
      </c>
      <c r="B75" t="s">
        <v>25</v>
      </c>
      <c r="C75">
        <v>299</v>
      </c>
      <c r="D75" t="s">
        <v>16</v>
      </c>
      <c r="E75" t="s">
        <v>22</v>
      </c>
      <c r="F75">
        <v>11</v>
      </c>
      <c r="G75" t="s">
        <v>13</v>
      </c>
      <c r="H75" t="str">
        <f t="shared" si="5"/>
        <v>Medium Risk</v>
      </c>
    </row>
    <row r="76" spans="1:8" x14ac:dyDescent="0.25">
      <c r="A76" t="s">
        <v>174</v>
      </c>
      <c r="B76" t="s">
        <v>21</v>
      </c>
      <c r="C76">
        <v>999</v>
      </c>
      <c r="D76" t="s">
        <v>26</v>
      </c>
      <c r="E76" t="s">
        <v>62</v>
      </c>
      <c r="F76">
        <v>9</v>
      </c>
      <c r="G76" t="s">
        <v>18</v>
      </c>
      <c r="H76" t="str">
        <f t="shared" si="5"/>
        <v>Medium Risk</v>
      </c>
    </row>
    <row r="77" spans="1:8" x14ac:dyDescent="0.25">
      <c r="A77" t="s">
        <v>176</v>
      </c>
      <c r="B77" t="s">
        <v>10</v>
      </c>
      <c r="C77">
        <v>599</v>
      </c>
      <c r="D77" t="s">
        <v>33</v>
      </c>
      <c r="E77" t="s">
        <v>59</v>
      </c>
      <c r="F77">
        <v>7</v>
      </c>
      <c r="G77" t="s">
        <v>18</v>
      </c>
      <c r="H77" t="str">
        <f t="shared" si="5"/>
        <v>Medium Risk</v>
      </c>
    </row>
    <row r="78" spans="1:8" x14ac:dyDescent="0.25">
      <c r="A78" t="s">
        <v>178</v>
      </c>
      <c r="B78" t="s">
        <v>25</v>
      </c>
      <c r="C78">
        <v>299</v>
      </c>
      <c r="D78" t="s">
        <v>26</v>
      </c>
      <c r="E78" t="s">
        <v>27</v>
      </c>
      <c r="F78">
        <v>5</v>
      </c>
      <c r="G78" t="s">
        <v>18</v>
      </c>
      <c r="H78" t="str">
        <f t="shared" si="5"/>
        <v>High Risk</v>
      </c>
    </row>
    <row r="79" spans="1:8" x14ac:dyDescent="0.25">
      <c r="A79" t="s">
        <v>180</v>
      </c>
      <c r="B79" t="s">
        <v>10</v>
      </c>
      <c r="C79">
        <v>599</v>
      </c>
      <c r="D79" t="s">
        <v>11</v>
      </c>
      <c r="E79" t="s">
        <v>48</v>
      </c>
      <c r="F79">
        <v>2</v>
      </c>
      <c r="G79" t="s">
        <v>18</v>
      </c>
      <c r="H79" t="str">
        <f t="shared" si="5"/>
        <v>High Risk</v>
      </c>
    </row>
    <row r="80" spans="1:8" x14ac:dyDescent="0.25">
      <c r="A80" t="s">
        <v>182</v>
      </c>
      <c r="B80" t="s">
        <v>10</v>
      </c>
      <c r="C80">
        <v>599</v>
      </c>
      <c r="D80" t="s">
        <v>11</v>
      </c>
      <c r="E80" t="s">
        <v>12</v>
      </c>
      <c r="F80">
        <v>20</v>
      </c>
      <c r="G80" t="s">
        <v>13</v>
      </c>
      <c r="H80" t="str">
        <f t="shared" si="5"/>
        <v>Low Risk</v>
      </c>
    </row>
    <row r="81" spans="1:8" x14ac:dyDescent="0.25">
      <c r="A81" t="s">
        <v>184</v>
      </c>
      <c r="B81" t="s">
        <v>25</v>
      </c>
      <c r="C81">
        <v>299</v>
      </c>
      <c r="D81" t="s">
        <v>26</v>
      </c>
      <c r="E81" t="s">
        <v>27</v>
      </c>
      <c r="F81">
        <v>13</v>
      </c>
      <c r="G81" t="s">
        <v>13</v>
      </c>
      <c r="H81" t="str">
        <f t="shared" si="5"/>
        <v>Low Risk</v>
      </c>
    </row>
    <row r="82" spans="1:8" x14ac:dyDescent="0.25">
      <c r="A82" t="s">
        <v>186</v>
      </c>
      <c r="B82" t="s">
        <v>25</v>
      </c>
      <c r="C82">
        <v>299</v>
      </c>
      <c r="D82" t="s">
        <v>33</v>
      </c>
      <c r="E82" t="s">
        <v>94</v>
      </c>
      <c r="F82">
        <v>6</v>
      </c>
      <c r="G82" t="s">
        <v>13</v>
      </c>
      <c r="H82" t="str">
        <f t="shared" si="5"/>
        <v>Medium Risk</v>
      </c>
    </row>
    <row r="83" spans="1:8" x14ac:dyDescent="0.25">
      <c r="A83" t="s">
        <v>188</v>
      </c>
      <c r="B83" t="s">
        <v>21</v>
      </c>
      <c r="C83">
        <v>999</v>
      </c>
      <c r="D83" t="s">
        <v>26</v>
      </c>
      <c r="E83" t="s">
        <v>62</v>
      </c>
      <c r="F83">
        <v>21</v>
      </c>
      <c r="G83" t="s">
        <v>13</v>
      </c>
      <c r="H83" t="str">
        <f t="shared" si="5"/>
        <v>Low Risk</v>
      </c>
    </row>
    <row r="84" spans="1:8" x14ac:dyDescent="0.25">
      <c r="A84" t="s">
        <v>190</v>
      </c>
      <c r="B84" t="s">
        <v>21</v>
      </c>
      <c r="C84">
        <v>999</v>
      </c>
      <c r="D84" t="s">
        <v>16</v>
      </c>
      <c r="E84" t="s">
        <v>22</v>
      </c>
      <c r="F84">
        <v>23</v>
      </c>
      <c r="G84" t="s">
        <v>18</v>
      </c>
      <c r="H84" t="str">
        <f t="shared" si="5"/>
        <v>Low Risk</v>
      </c>
    </row>
    <row r="85" spans="1:8" x14ac:dyDescent="0.25">
      <c r="A85" t="s">
        <v>191</v>
      </c>
      <c r="B85" t="s">
        <v>10</v>
      </c>
      <c r="C85">
        <v>599</v>
      </c>
      <c r="D85" t="s">
        <v>16</v>
      </c>
      <c r="E85" t="s">
        <v>17</v>
      </c>
      <c r="F85">
        <v>13</v>
      </c>
      <c r="G85" t="s">
        <v>18</v>
      </c>
      <c r="H85" t="str">
        <f t="shared" si="5"/>
        <v>Low Risk</v>
      </c>
    </row>
    <row r="86" spans="1:8" x14ac:dyDescent="0.25">
      <c r="A86" t="s">
        <v>192</v>
      </c>
      <c r="B86" t="s">
        <v>10</v>
      </c>
      <c r="C86">
        <v>599</v>
      </c>
      <c r="D86" t="s">
        <v>26</v>
      </c>
      <c r="E86" t="s">
        <v>50</v>
      </c>
      <c r="F86">
        <v>12</v>
      </c>
      <c r="G86" t="s">
        <v>18</v>
      </c>
      <c r="H86" t="str">
        <f t="shared" si="5"/>
        <v>Low Risk</v>
      </c>
    </row>
    <row r="87" spans="1:8" x14ac:dyDescent="0.25">
      <c r="A87" t="s">
        <v>194</v>
      </c>
      <c r="B87" t="s">
        <v>21</v>
      </c>
      <c r="C87">
        <v>999</v>
      </c>
      <c r="D87" t="s">
        <v>11</v>
      </c>
      <c r="E87" t="s">
        <v>59</v>
      </c>
      <c r="F87">
        <v>2</v>
      </c>
      <c r="G87" t="s">
        <v>13</v>
      </c>
      <c r="H87" t="str">
        <f t="shared" si="5"/>
        <v>High Risk</v>
      </c>
    </row>
    <row r="88" spans="1:8" x14ac:dyDescent="0.25">
      <c r="A88" t="s">
        <v>196</v>
      </c>
      <c r="B88" t="s">
        <v>21</v>
      </c>
      <c r="C88">
        <v>999</v>
      </c>
      <c r="D88" t="s">
        <v>33</v>
      </c>
      <c r="E88" t="s">
        <v>59</v>
      </c>
      <c r="F88">
        <v>10</v>
      </c>
      <c r="G88" t="s">
        <v>18</v>
      </c>
      <c r="H88" t="str">
        <f t="shared" si="5"/>
        <v>Medium Risk</v>
      </c>
    </row>
    <row r="89" spans="1:8" x14ac:dyDescent="0.25">
      <c r="A89" t="s">
        <v>198</v>
      </c>
      <c r="B89" t="s">
        <v>25</v>
      </c>
      <c r="C89">
        <v>299</v>
      </c>
      <c r="D89" t="s">
        <v>16</v>
      </c>
      <c r="E89" t="s">
        <v>17</v>
      </c>
      <c r="F89">
        <v>15</v>
      </c>
      <c r="G89" t="s">
        <v>18</v>
      </c>
      <c r="H89" t="str">
        <f t="shared" si="5"/>
        <v>Low Risk</v>
      </c>
    </row>
    <row r="90" spans="1:8" x14ac:dyDescent="0.25">
      <c r="A90" t="s">
        <v>200</v>
      </c>
      <c r="B90" t="s">
        <v>21</v>
      </c>
      <c r="C90">
        <v>999</v>
      </c>
      <c r="D90" t="s">
        <v>26</v>
      </c>
      <c r="E90" t="s">
        <v>62</v>
      </c>
      <c r="F90">
        <v>13</v>
      </c>
      <c r="G90" t="s">
        <v>18</v>
      </c>
      <c r="H90" t="str">
        <f t="shared" si="5"/>
        <v>Low Risk</v>
      </c>
    </row>
    <row r="91" spans="1:8" x14ac:dyDescent="0.25">
      <c r="A91" t="s">
        <v>202</v>
      </c>
      <c r="B91" t="s">
        <v>10</v>
      </c>
      <c r="C91">
        <v>599</v>
      </c>
      <c r="D91" t="s">
        <v>16</v>
      </c>
      <c r="E91" t="s">
        <v>17</v>
      </c>
      <c r="F91">
        <v>15</v>
      </c>
      <c r="G91" t="s">
        <v>18</v>
      </c>
      <c r="H91" t="str">
        <f t="shared" si="5"/>
        <v>Low Risk</v>
      </c>
    </row>
    <row r="92" spans="1:8" x14ac:dyDescent="0.25">
      <c r="A92" t="s">
        <v>204</v>
      </c>
      <c r="B92" t="s">
        <v>21</v>
      </c>
      <c r="C92">
        <v>999</v>
      </c>
      <c r="D92" t="s">
        <v>11</v>
      </c>
      <c r="E92" t="s">
        <v>59</v>
      </c>
      <c r="F92">
        <v>10</v>
      </c>
      <c r="G92" t="s">
        <v>18</v>
      </c>
      <c r="H92" t="str">
        <f t="shared" si="5"/>
        <v>Medium Risk</v>
      </c>
    </row>
    <row r="93" spans="1:8" x14ac:dyDescent="0.25">
      <c r="A93" t="s">
        <v>205</v>
      </c>
      <c r="B93" t="s">
        <v>25</v>
      </c>
      <c r="C93">
        <v>299</v>
      </c>
      <c r="D93" t="s">
        <v>26</v>
      </c>
      <c r="E93" t="s">
        <v>27</v>
      </c>
      <c r="F93">
        <v>24</v>
      </c>
      <c r="G93" t="s">
        <v>13</v>
      </c>
      <c r="H93" t="str">
        <f t="shared" si="5"/>
        <v>Low Risk</v>
      </c>
    </row>
    <row r="94" spans="1:8" x14ac:dyDescent="0.25">
      <c r="A94" t="s">
        <v>206</v>
      </c>
      <c r="B94" t="s">
        <v>25</v>
      </c>
      <c r="C94">
        <v>299</v>
      </c>
      <c r="D94" t="s">
        <v>33</v>
      </c>
      <c r="E94" t="s">
        <v>94</v>
      </c>
      <c r="F94">
        <v>19</v>
      </c>
      <c r="G94" t="s">
        <v>13</v>
      </c>
      <c r="H94" t="str">
        <f t="shared" si="5"/>
        <v>Low Risk</v>
      </c>
    </row>
    <row r="95" spans="1:8" x14ac:dyDescent="0.25">
      <c r="A95" t="s">
        <v>208</v>
      </c>
      <c r="B95" t="s">
        <v>10</v>
      </c>
      <c r="C95">
        <v>599</v>
      </c>
      <c r="D95" t="s">
        <v>11</v>
      </c>
      <c r="E95" t="s">
        <v>48</v>
      </c>
      <c r="F95">
        <v>22</v>
      </c>
      <c r="G95" t="s">
        <v>18</v>
      </c>
      <c r="H95" t="str">
        <f t="shared" si="5"/>
        <v>Low Risk</v>
      </c>
    </row>
    <row r="96" spans="1:8" x14ac:dyDescent="0.25">
      <c r="A96" t="s">
        <v>210</v>
      </c>
      <c r="B96" t="s">
        <v>25</v>
      </c>
      <c r="C96">
        <v>299</v>
      </c>
      <c r="D96" t="s">
        <v>33</v>
      </c>
      <c r="E96" t="s">
        <v>94</v>
      </c>
      <c r="F96">
        <v>11</v>
      </c>
      <c r="G96" t="s">
        <v>13</v>
      </c>
      <c r="H96" t="str">
        <f t="shared" si="5"/>
        <v>Medium Risk</v>
      </c>
    </row>
    <row r="97" spans="1:8" x14ac:dyDescent="0.25">
      <c r="A97" t="s">
        <v>212</v>
      </c>
      <c r="B97" t="s">
        <v>21</v>
      </c>
      <c r="C97">
        <v>999</v>
      </c>
      <c r="D97" t="s">
        <v>33</v>
      </c>
      <c r="E97" t="s">
        <v>94</v>
      </c>
      <c r="F97">
        <v>14</v>
      </c>
      <c r="G97" t="s">
        <v>18</v>
      </c>
      <c r="H97" t="str">
        <f t="shared" si="5"/>
        <v>Low Risk</v>
      </c>
    </row>
    <row r="98" spans="1:8" x14ac:dyDescent="0.25">
      <c r="A98" t="s">
        <v>214</v>
      </c>
      <c r="B98" t="s">
        <v>25</v>
      </c>
      <c r="C98">
        <v>299</v>
      </c>
      <c r="D98" t="s">
        <v>11</v>
      </c>
      <c r="E98" t="s">
        <v>30</v>
      </c>
      <c r="F98">
        <v>6</v>
      </c>
      <c r="G98" t="s">
        <v>18</v>
      </c>
      <c r="H98" t="str">
        <f t="shared" si="5"/>
        <v>Medium Risk</v>
      </c>
    </row>
    <row r="99" spans="1:8" x14ac:dyDescent="0.25">
      <c r="A99" t="s">
        <v>216</v>
      </c>
      <c r="B99" t="s">
        <v>10</v>
      </c>
      <c r="C99">
        <v>599</v>
      </c>
      <c r="D99" t="s">
        <v>11</v>
      </c>
      <c r="E99" t="s">
        <v>48</v>
      </c>
      <c r="F99">
        <v>13</v>
      </c>
      <c r="G99" t="s">
        <v>18</v>
      </c>
      <c r="H99" t="str">
        <f t="shared" si="5"/>
        <v>Low Risk</v>
      </c>
    </row>
    <row r="100" spans="1:8" x14ac:dyDescent="0.25">
      <c r="A100" t="s">
        <v>217</v>
      </c>
      <c r="B100" t="s">
        <v>10</v>
      </c>
      <c r="C100">
        <v>599</v>
      </c>
      <c r="D100" t="s">
        <v>26</v>
      </c>
      <c r="E100" t="s">
        <v>27</v>
      </c>
      <c r="F100">
        <v>24</v>
      </c>
      <c r="G100" t="s">
        <v>13</v>
      </c>
      <c r="H100" t="str">
        <f t="shared" si="5"/>
        <v>Low Risk</v>
      </c>
    </row>
    <row r="101" spans="1:8" x14ac:dyDescent="0.25">
      <c r="A101" t="s">
        <v>219</v>
      </c>
      <c r="B101" t="s">
        <v>21</v>
      </c>
      <c r="C101">
        <v>999</v>
      </c>
      <c r="D101" t="s">
        <v>33</v>
      </c>
      <c r="E101" t="s">
        <v>94</v>
      </c>
      <c r="F101">
        <v>24</v>
      </c>
      <c r="G101" t="s">
        <v>18</v>
      </c>
      <c r="H101" t="str">
        <f t="shared" si="5"/>
        <v>Low Risk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E84A-5C7E-4005-9772-A89613F0B2E0}">
  <dimension ref="A1:M28"/>
  <sheetViews>
    <sheetView showGridLines="0" showRowColHeaders="0" zoomScale="90" zoomScaleNormal="90" workbookViewId="0">
      <selection activeCell="W17" sqref="W17"/>
    </sheetView>
  </sheetViews>
  <sheetFormatPr defaultRowHeight="15" x14ac:dyDescent="0.25"/>
  <cols>
    <col min="2" max="2" width="12.7109375" customWidth="1"/>
    <col min="3" max="3" width="15.28515625" customWidth="1"/>
    <col min="4" max="4" width="14.5703125" customWidth="1"/>
    <col min="5" max="5" width="13.85546875" customWidth="1"/>
    <col min="7" max="7" width="16.42578125" customWidth="1"/>
    <col min="8" max="8" width="11" customWidth="1"/>
    <col min="9" max="9" width="10.28515625" customWidth="1"/>
    <col min="10" max="10" width="16.42578125" customWidth="1"/>
  </cols>
  <sheetData>
    <row r="1" spans="1:13" ht="26.25" x14ac:dyDescent="0.4">
      <c r="A1" s="14" t="s">
        <v>228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7.25" customHeight="1" x14ac:dyDescent="0.3">
      <c r="A2" s="6" t="s">
        <v>229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4" spans="1:13" ht="18.75" x14ac:dyDescent="0.3">
      <c r="B4" s="31" t="s">
        <v>230</v>
      </c>
      <c r="C4" s="31"/>
      <c r="D4" s="31"/>
      <c r="E4" s="31"/>
      <c r="G4" s="31" t="s">
        <v>243</v>
      </c>
      <c r="H4" s="31"/>
      <c r="I4" s="31"/>
      <c r="J4" s="31"/>
    </row>
    <row r="5" spans="1:13" x14ac:dyDescent="0.25">
      <c r="A5" s="8"/>
      <c r="B5" s="18" t="s">
        <v>4</v>
      </c>
      <c r="C5" s="19" t="s">
        <v>223</v>
      </c>
      <c r="D5" s="20" t="s">
        <v>224</v>
      </c>
      <c r="E5" s="20" t="s">
        <v>231</v>
      </c>
      <c r="F5" s="13"/>
      <c r="G5" s="18" t="s">
        <v>241</v>
      </c>
      <c r="H5" s="18" t="s">
        <v>13</v>
      </c>
      <c r="I5" s="18" t="s">
        <v>18</v>
      </c>
      <c r="J5" s="18" t="s">
        <v>231</v>
      </c>
    </row>
    <row r="6" spans="1:13" x14ac:dyDescent="0.25">
      <c r="A6" s="10"/>
      <c r="B6" s="9" t="s">
        <v>33</v>
      </c>
      <c r="C6" s="11">
        <v>8</v>
      </c>
      <c r="D6" s="15">
        <v>14</v>
      </c>
      <c r="E6" s="16">
        <v>0.36363636363636365</v>
      </c>
      <c r="F6" s="13"/>
      <c r="G6" s="9" t="s">
        <v>242</v>
      </c>
      <c r="H6" s="9">
        <v>5</v>
      </c>
      <c r="I6" s="9">
        <v>15</v>
      </c>
      <c r="J6" s="16">
        <v>0.25</v>
      </c>
    </row>
    <row r="7" spans="1:13" x14ac:dyDescent="0.25">
      <c r="B7" s="9" t="s">
        <v>11</v>
      </c>
      <c r="C7" s="9">
        <v>10</v>
      </c>
      <c r="D7" s="12">
        <v>20</v>
      </c>
      <c r="E7" s="17">
        <v>0.33333333333333331</v>
      </c>
      <c r="G7" s="9" t="s">
        <v>238</v>
      </c>
      <c r="H7" s="9">
        <v>9</v>
      </c>
      <c r="I7" s="9">
        <v>21</v>
      </c>
      <c r="J7" s="16">
        <v>0.3</v>
      </c>
    </row>
    <row r="8" spans="1:13" x14ac:dyDescent="0.25">
      <c r="B8" s="21" t="s">
        <v>26</v>
      </c>
      <c r="C8" s="22">
        <v>11</v>
      </c>
      <c r="D8" s="21">
        <v>13</v>
      </c>
      <c r="E8" s="23">
        <v>0.45833333333333331</v>
      </c>
      <c r="F8" s="13"/>
      <c r="G8" s="9" t="s">
        <v>239</v>
      </c>
      <c r="H8" s="9">
        <v>9</v>
      </c>
      <c r="I8" s="9">
        <v>20</v>
      </c>
      <c r="J8" s="16">
        <v>0.31034482758620691</v>
      </c>
    </row>
    <row r="9" spans="1:13" x14ac:dyDescent="0.25">
      <c r="B9" s="24" t="s">
        <v>16</v>
      </c>
      <c r="C9" s="25">
        <v>4</v>
      </c>
      <c r="D9" s="26">
        <v>20</v>
      </c>
      <c r="E9" s="27">
        <v>0.16666666666666666</v>
      </c>
      <c r="F9" s="13"/>
      <c r="G9" s="32" t="s">
        <v>240</v>
      </c>
      <c r="H9" s="32">
        <v>10</v>
      </c>
      <c r="I9" s="32">
        <v>11</v>
      </c>
      <c r="J9" s="33">
        <v>0.47619047619047616</v>
      </c>
    </row>
    <row r="11" spans="1:13" ht="18.75" x14ac:dyDescent="0.3">
      <c r="B11" s="31" t="s">
        <v>232</v>
      </c>
      <c r="C11" s="31"/>
      <c r="D11" s="31"/>
      <c r="G11" s="7" t="s">
        <v>244</v>
      </c>
    </row>
    <row r="12" spans="1:13" ht="15.75" x14ac:dyDescent="0.25">
      <c r="B12" s="18" t="s">
        <v>226</v>
      </c>
      <c r="C12" s="18" t="s">
        <v>222</v>
      </c>
      <c r="D12" s="18" t="s">
        <v>233</v>
      </c>
      <c r="G12" s="34" t="s">
        <v>245</v>
      </c>
    </row>
    <row r="13" spans="1:13" ht="15.75" x14ac:dyDescent="0.25">
      <c r="B13" s="21" t="s">
        <v>234</v>
      </c>
      <c r="C13" s="21">
        <v>17</v>
      </c>
      <c r="D13" s="29">
        <v>0.17</v>
      </c>
      <c r="G13" s="34" t="s">
        <v>246</v>
      </c>
    </row>
    <row r="14" spans="1:13" ht="15.75" x14ac:dyDescent="0.25">
      <c r="B14" s="9" t="s">
        <v>235</v>
      </c>
      <c r="C14" s="9">
        <v>29</v>
      </c>
      <c r="D14" s="28">
        <v>0.28999999999999998</v>
      </c>
      <c r="G14" s="34" t="s">
        <v>247</v>
      </c>
    </row>
    <row r="15" spans="1:13" x14ac:dyDescent="0.25">
      <c r="B15" s="9" t="s">
        <v>236</v>
      </c>
      <c r="C15" s="9">
        <v>54</v>
      </c>
      <c r="D15" s="28">
        <v>0.54</v>
      </c>
    </row>
    <row r="17" spans="2:5" ht="18.75" x14ac:dyDescent="0.3">
      <c r="B17" s="31" t="s">
        <v>237</v>
      </c>
      <c r="C17" s="31"/>
      <c r="D17" s="31"/>
      <c r="E17" s="31"/>
    </row>
    <row r="18" spans="2:5" x14ac:dyDescent="0.25">
      <c r="B18" s="18" t="s">
        <v>2</v>
      </c>
      <c r="C18" s="18" t="s">
        <v>13</v>
      </c>
      <c r="D18" s="18" t="s">
        <v>18</v>
      </c>
      <c r="E18" s="18" t="s">
        <v>225</v>
      </c>
    </row>
    <row r="19" spans="2:5" x14ac:dyDescent="0.25">
      <c r="B19" s="21" t="s">
        <v>25</v>
      </c>
      <c r="C19" s="21">
        <v>18</v>
      </c>
      <c r="D19" s="21">
        <v>12</v>
      </c>
      <c r="E19" s="29">
        <v>0.6</v>
      </c>
    </row>
    <row r="20" spans="2:5" x14ac:dyDescent="0.25">
      <c r="B20" s="9" t="s">
        <v>10</v>
      </c>
      <c r="C20" s="9">
        <v>11</v>
      </c>
      <c r="D20" s="9">
        <v>29</v>
      </c>
      <c r="E20" s="30">
        <v>0.27500000000000002</v>
      </c>
    </row>
    <row r="21" spans="2:5" x14ac:dyDescent="0.25">
      <c r="B21" s="9" t="s">
        <v>21</v>
      </c>
      <c r="C21" s="9">
        <v>4</v>
      </c>
      <c r="D21" s="9">
        <v>26</v>
      </c>
      <c r="E21" s="30">
        <v>0.13300000000000001</v>
      </c>
    </row>
    <row r="23" spans="2:5" x14ac:dyDescent="0.25">
      <c r="B23" s="2" t="s">
        <v>248</v>
      </c>
    </row>
    <row r="24" spans="2:5" x14ac:dyDescent="0.25">
      <c r="B24" t="s">
        <v>249</v>
      </c>
    </row>
    <row r="25" spans="2:5" x14ac:dyDescent="0.25">
      <c r="B25" t="s">
        <v>250</v>
      </c>
    </row>
    <row r="26" spans="2:5" x14ac:dyDescent="0.25">
      <c r="B26" t="s">
        <v>251</v>
      </c>
    </row>
    <row r="27" spans="2:5" x14ac:dyDescent="0.25">
      <c r="B27" t="s">
        <v>252</v>
      </c>
    </row>
    <row r="28" spans="2:5" x14ac:dyDescent="0.25">
      <c r="B28" t="s">
        <v>253</v>
      </c>
    </row>
  </sheetData>
  <mergeCells count="6">
    <mergeCell ref="B17:E17"/>
    <mergeCell ref="G4:J4"/>
    <mergeCell ref="A1:M1"/>
    <mergeCell ref="A2:M2"/>
    <mergeCell ref="B4:E4"/>
    <mergeCell ref="B11:D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Subscription Data</vt:lpstr>
      <vt:lpstr>Calculations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Kushal Reddy Marthala</cp:lastModifiedBy>
  <dcterms:created xsi:type="dcterms:W3CDTF">2026-08-27T05:25:15Z</dcterms:created>
  <dcterms:modified xsi:type="dcterms:W3CDTF">2026-08-27T08:31:46Z</dcterms:modified>
</cp:coreProperties>
</file>